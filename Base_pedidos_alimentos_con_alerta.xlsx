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966c3b4b9bcb346b/Escritorio/CFT 2026/Tecnología de la Información CFT/"/>
    </mc:Choice>
  </mc:AlternateContent>
  <xr:revisionPtr revIDLastSave="18" documentId="11_519DD9A23FEC7CAEAB1D468F08726CBFCBBB870A" xr6:coauthVersionLast="47" xr6:coauthVersionMax="47" xr10:uidLastSave="{F8E27A19-90E3-4CEE-A921-66A202AD5C69}"/>
  <bookViews>
    <workbookView xWindow="-110" yWindow="-110" windowWidth="19420" windowHeight="10300" xr2:uid="{00000000-000D-0000-FFFF-FFFF00000000}"/>
  </bookViews>
  <sheets>
    <sheet name="Pedidos" sheetId="1" r:id="rId1"/>
    <sheet name="Hoja1" sheetId="3" r:id="rId2"/>
    <sheet name="Actividades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8" i="1" l="1"/>
  <c r="M7" i="1"/>
  <c r="M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6" i="1"/>
  <c r="F91" i="1"/>
  <c r="F90" i="1"/>
  <c r="F89" i="1"/>
  <c r="D13" i="3"/>
  <c r="B13" i="3"/>
  <c r="B11" i="3"/>
  <c r="D10" i="3"/>
  <c r="D9" i="3"/>
  <c r="D8" i="3"/>
  <c r="D7" i="3"/>
  <c r="D5" i="3"/>
  <c r="D4" i="3"/>
  <c r="D3" i="3"/>
  <c r="D2" i="3"/>
  <c r="J91" i="1"/>
  <c r="J90" i="1"/>
  <c r="J89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88" i="1" s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D12" i="3" l="1"/>
  <c r="D11" i="3"/>
</calcChain>
</file>

<file path=xl/sharedStrings.xml><?xml version="1.0" encoding="utf-8"?>
<sst xmlns="http://schemas.openxmlformats.org/spreadsheetml/2006/main" count="565" uniqueCount="197">
  <si>
    <t>Base de datos de pedidos de alimentos</t>
  </si>
  <si>
    <t>Datos completamente ficticios para actividades de Excel. Montos expresados en pesos chilenos (CLP).</t>
  </si>
  <si>
    <t>ID pedido</t>
  </si>
  <si>
    <t>Fecha</t>
  </si>
  <si>
    <t>Tienda</t>
  </si>
  <si>
    <t>Comuna</t>
  </si>
  <si>
    <t>Categoría</t>
  </si>
  <si>
    <t>Alimento</t>
  </si>
  <si>
    <t>Cantidad</t>
  </si>
  <si>
    <t>Precio unitario</t>
  </si>
  <si>
    <t>Costo de despacho</t>
  </si>
  <si>
    <t>Total del pedido</t>
  </si>
  <si>
    <t>Estado de despacho</t>
  </si>
  <si>
    <t>PED-001</t>
  </si>
  <si>
    <t>Frutería Valle Verde</t>
  </si>
  <si>
    <t>Independencia</t>
  </si>
  <si>
    <t>Frutas y verduras</t>
  </si>
  <si>
    <t>Manzanas rojas (kg)</t>
  </si>
  <si>
    <t>Pendiente</t>
  </si>
  <si>
    <t>PED-002</t>
  </si>
  <si>
    <t>Distribuidora Campo Fresco</t>
  </si>
  <si>
    <t>Santiago</t>
  </si>
  <si>
    <t>Lácteos</t>
  </si>
  <si>
    <t>Leche descremada 1 L</t>
  </si>
  <si>
    <t>PED-003</t>
  </si>
  <si>
    <t>Supermercado Los Alerces</t>
  </si>
  <si>
    <t>Colina</t>
  </si>
  <si>
    <t>Congelados</t>
  </si>
  <si>
    <t>Verduras congeladas 500 g</t>
  </si>
  <si>
    <t>En proceso</t>
  </si>
  <si>
    <t>PED-004</t>
  </si>
  <si>
    <t>Almacén Buen Día</t>
  </si>
  <si>
    <t>La Florida</t>
  </si>
  <si>
    <t>Carnes y proteínas</t>
  </si>
  <si>
    <t>Huevos (docena)</t>
  </si>
  <si>
    <t>PED-005</t>
  </si>
  <si>
    <t>Minimarket Plaza Norte</t>
  </si>
  <si>
    <t>Quilicura</t>
  </si>
  <si>
    <t>Panadería</t>
  </si>
  <si>
    <t>Hallullas (kg)</t>
  </si>
  <si>
    <t>Listo</t>
  </si>
  <si>
    <t>PED-006</t>
  </si>
  <si>
    <t>Panadería El Trigal</t>
  </si>
  <si>
    <t>Providencia</t>
  </si>
  <si>
    <t>Abarrotes</t>
  </si>
  <si>
    <t>Lentejas 1 kg</t>
  </si>
  <si>
    <t>PED-007</t>
  </si>
  <si>
    <t>Mercado La Estación</t>
  </si>
  <si>
    <t>Maipú</t>
  </si>
  <si>
    <t>Snacks</t>
  </si>
  <si>
    <t>Frutos secos 200 g</t>
  </si>
  <si>
    <t>PED-008</t>
  </si>
  <si>
    <t>Emporio Santa Clara</t>
  </si>
  <si>
    <t>Paltas (kg)</t>
  </si>
  <si>
    <t>PED-009</t>
  </si>
  <si>
    <t>Ñuñoa</t>
  </si>
  <si>
    <t>Arroz 1 kg</t>
  </si>
  <si>
    <t>PED-010</t>
  </si>
  <si>
    <t>Bebidas sin alcohol</t>
  </si>
  <si>
    <t>Té helado 1,5 L</t>
  </si>
  <si>
    <t>PED-011</t>
  </si>
  <si>
    <t>Plátanos (kg)</t>
  </si>
  <si>
    <t>PED-012</t>
  </si>
  <si>
    <t>Yogur natural</t>
  </si>
  <si>
    <t>PED-013</t>
  </si>
  <si>
    <t>Agua mineral 1,5 L</t>
  </si>
  <si>
    <t>PED-014</t>
  </si>
  <si>
    <t>Atún en conserva</t>
  </si>
  <si>
    <t>PED-015</t>
  </si>
  <si>
    <t>Tortillas de trigo</t>
  </si>
  <si>
    <t>PED-016</t>
  </si>
  <si>
    <t>PED-017</t>
  </si>
  <si>
    <t>Pechuga de pollo (kg)</t>
  </si>
  <si>
    <t>PED-018</t>
  </si>
  <si>
    <t>Pan integral</t>
  </si>
  <si>
    <t>PED-019</t>
  </si>
  <si>
    <t>PED-020</t>
  </si>
  <si>
    <t>Galletas de avena</t>
  </si>
  <si>
    <t>PED-021</t>
  </si>
  <si>
    <t>Tomates (kg)</t>
  </si>
  <si>
    <t>PED-022</t>
  </si>
  <si>
    <t>PED-023</t>
  </si>
  <si>
    <t>Jugo de naranja 1 L</t>
  </si>
  <si>
    <t>PED-024</t>
  </si>
  <si>
    <t>PED-025</t>
  </si>
  <si>
    <t>PED-026</t>
  </si>
  <si>
    <t>Hamburguesas vegetales</t>
  </si>
  <si>
    <t>PED-027</t>
  </si>
  <si>
    <t>PED-028</t>
  </si>
  <si>
    <t>PED-029</t>
  </si>
  <si>
    <t>Aceite vegetal 1 L</t>
  </si>
  <si>
    <t>PED-030</t>
  </si>
  <si>
    <t>PED-031</t>
  </si>
  <si>
    <t>PED-032</t>
  </si>
  <si>
    <t>Fideos 400 g</t>
  </si>
  <si>
    <t>PED-033</t>
  </si>
  <si>
    <t>PED-034</t>
  </si>
  <si>
    <t>PED-035</t>
  </si>
  <si>
    <t>Queso laminado 250 g</t>
  </si>
  <si>
    <t>PED-036</t>
  </si>
  <si>
    <t>PED-037</t>
  </si>
  <si>
    <t>PED-038</t>
  </si>
  <si>
    <t>PED-039</t>
  </si>
  <si>
    <t>PED-040</t>
  </si>
  <si>
    <t>PED-041</t>
  </si>
  <si>
    <t>PED-042</t>
  </si>
  <si>
    <t>PED-043</t>
  </si>
  <si>
    <t>PED-044</t>
  </si>
  <si>
    <t>PED-045</t>
  </si>
  <si>
    <t>PED-046</t>
  </si>
  <si>
    <t>PED-047</t>
  </si>
  <si>
    <t>PED-048</t>
  </si>
  <si>
    <t>PED-049</t>
  </si>
  <si>
    <t>PED-050</t>
  </si>
  <si>
    <t>PED-051</t>
  </si>
  <si>
    <t>PED-052</t>
  </si>
  <si>
    <t>PED-053</t>
  </si>
  <si>
    <t>PED-054</t>
  </si>
  <si>
    <t>PED-055</t>
  </si>
  <si>
    <t>PED-056</t>
  </si>
  <si>
    <t>PED-057</t>
  </si>
  <si>
    <t>PED-058</t>
  </si>
  <si>
    <t>PED-059</t>
  </si>
  <si>
    <t>PED-060</t>
  </si>
  <si>
    <t>PED-061</t>
  </si>
  <si>
    <t>PED-062</t>
  </si>
  <si>
    <t>PED-063</t>
  </si>
  <si>
    <t>PED-064</t>
  </si>
  <si>
    <t>PED-065</t>
  </si>
  <si>
    <t>PED-066</t>
  </si>
  <si>
    <t>PED-067</t>
  </si>
  <si>
    <t>PED-068</t>
  </si>
  <si>
    <t>PED-069</t>
  </si>
  <si>
    <t>PED-070</t>
  </si>
  <si>
    <t>PED-071</t>
  </si>
  <si>
    <t>PED-072</t>
  </si>
  <si>
    <t>PED-073</t>
  </si>
  <si>
    <t>PED-074</t>
  </si>
  <si>
    <t>PED-075</t>
  </si>
  <si>
    <t>PED-076</t>
  </si>
  <si>
    <t>PED-077</t>
  </si>
  <si>
    <t>PED-078</t>
  </si>
  <si>
    <t>PED-079</t>
  </si>
  <si>
    <t>PED-080</t>
  </si>
  <si>
    <t>Producto</t>
  </si>
  <si>
    <t>Precio</t>
  </si>
  <si>
    <t>Estado</t>
  </si>
  <si>
    <t>Chao</t>
  </si>
  <si>
    <t xml:space="preserve">Hallullas  </t>
  </si>
  <si>
    <t>Entregado</t>
  </si>
  <si>
    <t xml:space="preserve">Huevos </t>
  </si>
  <si>
    <t xml:space="preserve">Manzanas rojas </t>
  </si>
  <si>
    <t xml:space="preserve">Leche descremada </t>
  </si>
  <si>
    <t xml:space="preserve">Verduras congeladas </t>
  </si>
  <si>
    <t>Hola</t>
  </si>
  <si>
    <t>Lentejas</t>
  </si>
  <si>
    <t xml:space="preserve">Frutos secos </t>
  </si>
  <si>
    <t xml:space="preserve">Paltas </t>
  </si>
  <si>
    <t>Actividades sugeridas con la base de pedidos</t>
  </si>
  <si>
    <t>Trabaja en la hoja Pedidos. Escribe aquí tus resultados o fórmulas cuando corresponda.</t>
  </si>
  <si>
    <t>N.º</t>
  </si>
  <si>
    <t>Nivel</t>
  </si>
  <si>
    <t>Actividad</t>
  </si>
  <si>
    <t>Respuesta o fórmula</t>
  </si>
  <si>
    <t>Pista</t>
  </si>
  <si>
    <t>Inicial</t>
  </si>
  <si>
    <t>Cuenta cuántos pedidos hay en total.</t>
  </si>
  <si>
    <t>Usa la columna ID pedido.</t>
  </si>
  <si>
    <t>Cuenta cuántos pedidos están pendientes.</t>
  </si>
  <si>
    <t>Prueba CONTAR.SI.</t>
  </si>
  <si>
    <t>Calcula el valor total de todos los pedidos.</t>
  </si>
  <si>
    <t>Prueba SUMA.</t>
  </si>
  <si>
    <t>Calcula el precio unitario promedio de los alimentos.</t>
  </si>
  <si>
    <t>Prueba PROMEDIO.</t>
  </si>
  <si>
    <t>Encuentra el pedido de mayor valor.</t>
  </si>
  <si>
    <t>Prueba MAX.</t>
  </si>
  <si>
    <t>Ordena los pedidos desde el total más alto al más bajo.</t>
  </si>
  <si>
    <t>Usa Ordenar y filtrar.</t>
  </si>
  <si>
    <t>Filtra la base para mostrar únicamente los pedidos de Colina.</t>
  </si>
  <si>
    <t>Usa el filtro de la columna Comuna.</t>
  </si>
  <si>
    <t>Intermedio</t>
  </si>
  <si>
    <t>Cuenta cuántos pedidos registró Mercado La Estación.</t>
  </si>
  <si>
    <t>Calcula el valor total de los pedidos con estado Listo.</t>
  </si>
  <si>
    <t>Prueba SUMAR.SI.</t>
  </si>
  <si>
    <t>Calcula el valor total de los pedidos de una tienda que tú elijas.</t>
  </si>
  <si>
    <t>Usa la tienda como criterio.</t>
  </si>
  <si>
    <t>Crea una tabla resumen con la cantidad de pedidos por estado.</t>
  </si>
  <si>
    <t>Usa tres criterios: Pendiente, En proceso y Listo.</t>
  </si>
  <si>
    <t>Crea un gráfico que compare la cantidad de pedidos por estado.</t>
  </si>
  <si>
    <t>Usa la tabla resumen del ejercicio anterior.</t>
  </si>
  <si>
    <t>Destaca con formato condicional los pedidos cuyo total sea superior a $30.000.</t>
  </si>
  <si>
    <t>Aplica la regla a Total del pedido.</t>
  </si>
  <si>
    <t>Desafío</t>
  </si>
  <si>
    <t>Crea una tabla dinámica que muestre el total vendido por tienda y por estado.</t>
  </si>
  <si>
    <t>Filas: tienda. Columnas: estado. Valores: suma del total.</t>
  </si>
  <si>
    <t>Alerta de pedido</t>
  </si>
  <si>
    <t>Días de atraso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</si>
</sst>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"/>
    <numFmt numFmtId="165" formatCode="&quot;$&quot;#,##0"/>
  </numFmts>
  <fonts count="6">
    <font>
      <sz val="11"/>
      <name val="Carlito"/>
    </font>
    <font>
      <b/>
      <sz val="15"/>
      <color rgb="FF1B5E20"/>
      <name val="Arial"/>
    </font>
    <font>
      <i/>
      <sz val="10"/>
      <color rgb="FF555555"/>
      <name val="Arial"/>
    </font>
    <font>
      <sz val="10"/>
      <color rgb="FF222222"/>
      <name val="Arial"/>
    </font>
    <font>
      <b/>
      <sz val="10"/>
      <color rgb="FFFFFFFF"/>
      <name val="Arial"/>
    </font>
    <font>
      <b/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2E7D32"/>
      </patternFill>
    </fill>
    <fill>
      <patternFill patternType="solid">
        <fgColor rgb="FFFFF8D6"/>
      </patternFill>
    </fill>
  </fills>
  <borders count="16">
    <border>
      <left/>
      <right/>
      <top/>
      <bottom/>
      <diagonal/>
    </border>
    <border>
      <left/>
      <right/>
      <top/>
      <bottom style="medium">
        <color rgb="FF2E7D32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E0C96D"/>
      </left>
      <right style="thin">
        <color rgb="FFE0C96D"/>
      </right>
      <top style="thin">
        <color rgb="FFE0C96D"/>
      </top>
      <bottom style="thin">
        <color rgb="FFE0C96D"/>
      </bottom>
      <diagonal/>
    </border>
    <border>
      <left/>
      <right style="thin">
        <color rgb="FFD9E5D9"/>
      </right>
      <top/>
      <bottom style="thin">
        <color rgb="FFD9E5D9"/>
      </bottom>
      <diagonal/>
    </border>
    <border>
      <left style="thin">
        <color rgb="FFD9E5D9"/>
      </left>
      <right style="thin">
        <color rgb="FFD9E5D9"/>
      </right>
      <top/>
      <bottom style="thin">
        <color rgb="FFD9E5D9"/>
      </bottom>
      <diagonal/>
    </border>
    <border>
      <left style="thin">
        <color rgb="FFD9E5D9"/>
      </left>
      <right/>
      <top/>
      <bottom style="thin">
        <color rgb="FFD9E5D9"/>
      </bottom>
      <diagonal/>
    </border>
    <border>
      <left/>
      <right style="thin">
        <color rgb="FFD9E5D9"/>
      </right>
      <top style="thin">
        <color rgb="FFD9E5D9"/>
      </top>
      <bottom style="thin">
        <color rgb="FFD9E5D9"/>
      </bottom>
      <diagonal/>
    </border>
    <border>
      <left style="thin">
        <color rgb="FFD9E5D9"/>
      </left>
      <right style="thin">
        <color rgb="FFD9E5D9"/>
      </right>
      <top style="thin">
        <color rgb="FFD9E5D9"/>
      </top>
      <bottom style="thin">
        <color rgb="FFD9E5D9"/>
      </bottom>
      <diagonal/>
    </border>
    <border>
      <left style="thin">
        <color rgb="FFD9E5D9"/>
      </left>
      <right/>
      <top style="thin">
        <color rgb="FFD9E5D9"/>
      </top>
      <bottom style="thin">
        <color rgb="FFD9E5D9"/>
      </bottom>
      <diagonal/>
    </border>
    <border>
      <left/>
      <right style="thin">
        <color rgb="FFD9E5D9"/>
      </right>
      <top style="thin">
        <color rgb="FFD9E5D9"/>
      </top>
      <bottom/>
      <diagonal/>
    </border>
    <border>
      <left style="thin">
        <color rgb="FFD9E5D9"/>
      </left>
      <right style="thin">
        <color rgb="FFD9E5D9"/>
      </right>
      <top style="thin">
        <color rgb="FFD9E5D9"/>
      </top>
      <bottom/>
      <diagonal/>
    </border>
    <border>
      <left style="thin">
        <color rgb="FFD9E5D9"/>
      </left>
      <right/>
      <top style="thin">
        <color rgb="FFD9E5D9"/>
      </top>
      <bottom/>
      <diagonal/>
    </border>
    <border>
      <left/>
      <right/>
      <top/>
      <bottom style="thin">
        <color rgb="FFD9E5D9"/>
      </bottom>
      <diagonal/>
    </border>
    <border>
      <left/>
      <right/>
      <top style="thin">
        <color rgb="FFD9E5D9"/>
      </top>
      <bottom style="thin">
        <color rgb="FFD9E5D9"/>
      </bottom>
      <diagonal/>
    </border>
    <border>
      <left/>
      <right/>
      <top style="thin">
        <color rgb="FFD9E5D9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/>
    <xf numFmtId="0" fontId="1" fillId="0" borderId="1" xfId="0" applyFont="1" applyBorder="1"/>
    <xf numFmtId="0" fontId="2" fillId="0" borderId="0" xfId="0" applyFont="1"/>
    <xf numFmtId="0" fontId="3" fillId="0" borderId="1" xfId="0" applyFont="1" applyBorder="1"/>
    <xf numFmtId="0" fontId="3" fillId="0" borderId="0" xfId="0" applyFont="1"/>
    <xf numFmtId="0" fontId="4" fillId="2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left" vertical="center"/>
    </xf>
    <xf numFmtId="1" fontId="3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horizontal="right" vertical="center"/>
    </xf>
    <xf numFmtId="0" fontId="3" fillId="3" borderId="3" xfId="0" applyFont="1" applyFill="1" applyBorder="1" applyAlignment="1">
      <alignment horizontal="left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vertical="center" wrapText="1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vertical="center" wrapText="1"/>
    </xf>
    <xf numFmtId="0" fontId="3" fillId="0" borderId="13" xfId="0" applyFont="1" applyBorder="1" applyAlignment="1">
      <alignment vertical="center" wrapText="1"/>
    </xf>
    <xf numFmtId="0" fontId="3" fillId="0" borderId="14" xfId="0" applyFont="1" applyBorder="1" applyAlignment="1">
      <alignment vertical="center" wrapText="1"/>
    </xf>
    <xf numFmtId="0" fontId="3" fillId="0" borderId="15" xfId="0" applyFont="1" applyBorder="1" applyAlignment="1">
      <alignment vertical="center" wrapText="1"/>
    </xf>
    <xf numFmtId="0" fontId="5" fillId="0" borderId="0" xfId="0" applyFont="1"/>
    <xf numFmtId="165" fontId="0" fillId="0" borderId="0" xfId="0" applyNumberFormat="1"/>
    <xf numFmtId="0" fontId="0" fillId="0" borderId="0" xfId="0" applyAlignment="1">
      <alignment wrapText="1"/>
    </xf>
    <xf numFmtId="0" fontId="0" fillId="0" borderId="0" xfId="0" applyNumberFormat="1"/>
  </cellXfs>
  <cellStyles count="1">
    <cellStyle name="Normal" xfId="0" builtinId="0"/>
  </cellStyles>
  <dxfs count="5">
    <dxf>
      <font>
        <color rgb="FF9F2121"/>
      </font>
      <fill>
        <patternFill patternType="solid">
          <bgColor rgb="FFFCE8E6"/>
        </patternFill>
      </fill>
    </dxf>
    <dxf>
      <font>
        <b/>
        <color rgb="FF176B2C"/>
      </font>
      <fill>
        <patternFill>
          <bgColor rgb="FFE4F4E8"/>
        </patternFill>
      </fill>
    </dxf>
    <dxf>
      <font>
        <b/>
        <color rgb="FF7A5600"/>
      </font>
      <fill>
        <patternFill>
          <bgColor rgb="FFFFF4CC"/>
        </patternFill>
      </fill>
    </dxf>
    <dxf>
      <font>
        <b/>
        <color rgb="FFA61B1B"/>
      </font>
      <fill>
        <patternFill>
          <bgColor rgb="FFFDECEC"/>
        </patternFill>
      </fill>
    </dxf>
    <dxf>
      <numFmt numFmtId="165" formatCode="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sz="1400" b="1" i="0" u="none" spc="0">
                <a:solidFill>
                  <a:schemeClr val="tx1"/>
                </a:solidFill>
                <a:latin typeface="+mn-lt"/>
                <a:ea typeface="+mn-lt"/>
                <a:cs typeface="+mn-lt"/>
              </a:rPr>
              <a:t>Precio productos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156082"/>
            </a:solidFill>
            <a:ln>
              <a:noFill/>
            </a:ln>
          </c:spPr>
          <c:invertIfNegative val="1"/>
          <c:val>
            <c:numRef>
              <c:f>[1]Hoja1!$B$2</c:f>
              <c:numCache>
                <c:formatCode>General</c:formatCode>
                <c:ptCount val="1"/>
                <c:pt idx="0">
                  <c:v>500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</c14:spPr>
              </c14:invertSolidFillFmt>
            </c:ex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[1]Hoja1!$A$2</c15:sqref>
                        </c15:formulaRef>
                      </c:ext>
                    </c:extLst>
                    <c:strCache>
                      <c:ptCount val="1"/>
                      <c:pt idx="0">
                        <c:v>Hallullas  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mc:AlternateContent xmlns:mc="http://schemas.openxmlformats.org/markup-compatibility/2006">
                    <mc:Choice xmlns:c16ac="http://schemas.microsoft.com/office/drawing/2014/chart/ac" Requires="c16ac">
                      <c16ac:multiLvlStrLit>
                        <c:ptCount val="0"/>
                      </c16ac:multiLvlStrLit>
                    </mc:Choice>
                    <mc:Fallback>
                      <c:strLit/>
                    </mc:Fallback>
                  </mc:AlternateContent>
                </c15:cat>
              </c15:filteredCategoryTitle>
            </c:ext>
            <c:ext xmlns:c16="http://schemas.microsoft.com/office/drawing/2014/chart" uri="{C3380CC4-5D6E-409C-BE32-E72D297353CC}">
              <c16:uniqueId val="{00000000-66D5-444D-962D-4DC962738A37}"/>
            </c:ext>
          </c:extLst>
        </c:ser>
        <c:ser>
          <c:idx val="1"/>
          <c:order val="1"/>
          <c:spPr>
            <a:solidFill>
              <a:srgbClr val="E97132"/>
            </a:solidFill>
            <a:ln>
              <a:noFill/>
            </a:ln>
          </c:spPr>
          <c:invertIfNegative val="1"/>
          <c:val>
            <c:numRef>
              <c:f>[1]Hoja1!$B$3</c:f>
              <c:numCache>
                <c:formatCode>General</c:formatCode>
                <c:ptCount val="1"/>
                <c:pt idx="0">
                  <c:v>800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</c14:spPr>
              </c14:invertSolidFillFmt>
            </c:ex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[1]Hoja1!$A$3</c15:sqref>
                        </c15:formulaRef>
                      </c:ext>
                    </c:extLst>
                    <c:strCache>
                      <c:ptCount val="1"/>
                      <c:pt idx="0">
                        <c:v>Huevos 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mc:AlternateContent xmlns:mc="http://schemas.openxmlformats.org/markup-compatibility/2006">
                    <mc:Choice xmlns:c16ac="http://schemas.microsoft.com/office/drawing/2014/chart/ac" Requires="c16ac">
                      <c16ac:multiLvlStrLit>
                        <c:ptCount val="0"/>
                      </c16ac:multiLvlStrLit>
                    </mc:Choice>
                    <mc:Fallback>
                      <c:strLit/>
                    </mc:Fallback>
                  </mc:AlternateContent>
                </c15:cat>
              </c15:filteredCategoryTitle>
            </c:ext>
            <c:ext xmlns:c16="http://schemas.microsoft.com/office/drawing/2014/chart" uri="{C3380CC4-5D6E-409C-BE32-E72D297353CC}">
              <c16:uniqueId val="{00000001-66D5-444D-962D-4DC962738A37}"/>
            </c:ext>
          </c:extLst>
        </c:ser>
        <c:ser>
          <c:idx val="2"/>
          <c:order val="2"/>
          <c:spPr>
            <a:solidFill>
              <a:srgbClr val="196B24"/>
            </a:solidFill>
            <a:ln>
              <a:noFill/>
            </a:ln>
          </c:spPr>
          <c:invertIfNegative val="1"/>
          <c:val>
            <c:numRef>
              <c:f>[1]Hoja1!$B$4</c:f>
              <c:numCache>
                <c:formatCode>General</c:formatCode>
                <c:ptCount val="1"/>
                <c:pt idx="0">
                  <c:v>2000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</c14:spPr>
              </c14:invertSolidFillFmt>
            </c:ex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[1]Hoja1!$A$4</c15:sqref>
                        </c15:formulaRef>
                      </c:ext>
                    </c:extLst>
                    <c:strCache>
                      <c:ptCount val="1"/>
                      <c:pt idx="0">
                        <c:v>Manzanas rojas 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mc:AlternateContent xmlns:mc="http://schemas.openxmlformats.org/markup-compatibility/2006">
                    <mc:Choice xmlns:c16ac="http://schemas.microsoft.com/office/drawing/2014/chart/ac" Requires="c16ac">
                      <c16ac:multiLvlStrLit>
                        <c:ptCount val="0"/>
                      </c16ac:multiLvlStrLit>
                    </mc:Choice>
                    <mc:Fallback>
                      <c:strLit/>
                    </mc:Fallback>
                  </mc:AlternateContent>
                </c15:cat>
              </c15:filteredCategoryTitle>
            </c:ext>
            <c:ext xmlns:c16="http://schemas.microsoft.com/office/drawing/2014/chart" uri="{C3380CC4-5D6E-409C-BE32-E72D297353CC}">
              <c16:uniqueId val="{00000002-66D5-444D-962D-4DC962738A37}"/>
            </c:ext>
          </c:extLst>
        </c:ser>
        <c:ser>
          <c:idx val="3"/>
          <c:order val="3"/>
          <c:spPr>
            <a:solidFill>
              <a:srgbClr val="0F9ED5"/>
            </a:solidFill>
            <a:ln>
              <a:noFill/>
            </a:ln>
          </c:spPr>
          <c:invertIfNegative val="1"/>
          <c:val>
            <c:numRef>
              <c:f>[1]Hoja1!$B$5</c:f>
              <c:numCache>
                <c:formatCode>General</c:formatCode>
                <c:ptCount val="1"/>
                <c:pt idx="0">
                  <c:v>3500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</c14:spPr>
              </c14:invertSolidFillFmt>
            </c:ex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[1]Hoja1!$A$5</c15:sqref>
                        </c15:formulaRef>
                      </c:ext>
                    </c:extLst>
                    <c:strCache>
                      <c:ptCount val="1"/>
                      <c:pt idx="0">
                        <c:v>Leche descremada 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mc:AlternateContent xmlns:mc="http://schemas.openxmlformats.org/markup-compatibility/2006">
                    <mc:Choice xmlns:c16ac="http://schemas.microsoft.com/office/drawing/2014/chart/ac" Requires="c16ac">
                      <c16ac:multiLvlStrLit>
                        <c:ptCount val="0"/>
                      </c16ac:multiLvlStrLit>
                    </mc:Choice>
                    <mc:Fallback>
                      <c:strLit/>
                    </mc:Fallback>
                  </mc:AlternateContent>
                </c15:cat>
              </c15:filteredCategoryTitle>
            </c:ext>
            <c:ext xmlns:c16="http://schemas.microsoft.com/office/drawing/2014/chart" uri="{C3380CC4-5D6E-409C-BE32-E72D297353CC}">
              <c16:uniqueId val="{00000003-66D5-444D-962D-4DC962738A37}"/>
            </c:ext>
          </c:extLst>
        </c:ser>
        <c:ser>
          <c:idx val="4"/>
          <c:order val="4"/>
          <c:spPr>
            <a:solidFill>
              <a:srgbClr val="A02B93"/>
            </a:solidFill>
            <a:ln>
              <a:noFill/>
            </a:ln>
          </c:spPr>
          <c:invertIfNegative val="1"/>
          <c:val>
            <c:numRef>
              <c:f>[1]Hoja1!$B$6</c:f>
              <c:numCache>
                <c:formatCode>General</c:formatCode>
                <c:ptCount val="1"/>
                <c:pt idx="0">
                  <c:v>4000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</c14:spPr>
              </c14:invertSolidFillFmt>
            </c:ex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[1]Hoja1!$A$6</c15:sqref>
                        </c15:formulaRef>
                      </c:ext>
                    </c:extLst>
                    <c:strCache>
                      <c:ptCount val="1"/>
                      <c:pt idx="0">
                        <c:v>Verduras congeladas 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mc:AlternateContent xmlns:mc="http://schemas.openxmlformats.org/markup-compatibility/2006">
                    <mc:Choice xmlns:c16ac="http://schemas.microsoft.com/office/drawing/2014/chart/ac" Requires="c16ac">
                      <c16ac:multiLvlStrLit>
                        <c:ptCount val="0"/>
                      </c16ac:multiLvlStrLit>
                    </mc:Choice>
                    <mc:Fallback>
                      <c:strLit/>
                    </mc:Fallback>
                  </mc:AlternateContent>
                </c15:cat>
              </c15:filteredCategoryTitle>
            </c:ext>
            <c:ext xmlns:c16="http://schemas.microsoft.com/office/drawing/2014/chart" uri="{C3380CC4-5D6E-409C-BE32-E72D297353CC}">
              <c16:uniqueId val="{00000004-66D5-444D-962D-4DC962738A37}"/>
            </c:ext>
          </c:extLst>
        </c:ser>
        <c:ser>
          <c:idx val="5"/>
          <c:order val="5"/>
          <c:spPr>
            <a:solidFill>
              <a:srgbClr val="4EA72E"/>
            </a:solidFill>
            <a:ln>
              <a:noFill/>
            </a:ln>
          </c:spPr>
          <c:invertIfNegative val="1"/>
          <c:val>
            <c:numRef>
              <c:f>[1]Hoja1!$B$7</c:f>
              <c:numCache>
                <c:formatCode>General</c:formatCode>
                <c:ptCount val="1"/>
                <c:pt idx="0">
                  <c:v>6000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</c14:spPr>
              </c14:invertSolidFillFmt>
            </c:ex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[1]Hoja1!$A$7</c15:sqref>
                        </c15:formulaRef>
                      </c:ext>
                    </c:extLst>
                    <c:strCache>
                      <c:ptCount val="1"/>
                      <c:pt idx="0">
                        <c:v>Lentejas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mc:AlternateContent xmlns:mc="http://schemas.openxmlformats.org/markup-compatibility/2006">
                    <mc:Choice xmlns:c16ac="http://schemas.microsoft.com/office/drawing/2014/chart/ac" Requires="c16ac">
                      <c16ac:multiLvlStrLit>
                        <c:ptCount val="0"/>
                      </c16ac:multiLvlStrLit>
                    </mc:Choice>
                    <mc:Fallback>
                      <c:strLit/>
                    </mc:Fallback>
                  </mc:AlternateContent>
                </c15:cat>
              </c15:filteredCategoryTitle>
            </c:ext>
            <c:ext xmlns:c16="http://schemas.microsoft.com/office/drawing/2014/chart" uri="{C3380CC4-5D6E-409C-BE32-E72D297353CC}">
              <c16:uniqueId val="{00000005-66D5-444D-962D-4DC962738A37}"/>
            </c:ext>
          </c:extLst>
        </c:ser>
        <c:ser>
          <c:idx val="6"/>
          <c:order val="6"/>
          <c:spPr>
            <a:solidFill>
              <a:srgbClr val="0D3A4E"/>
            </a:solidFill>
            <a:ln>
              <a:noFill/>
            </a:ln>
          </c:spPr>
          <c:invertIfNegative val="1"/>
          <c:val>
            <c:numRef>
              <c:f>[1]Hoja1!$B$8</c:f>
              <c:numCache>
                <c:formatCode>General</c:formatCode>
                <c:ptCount val="1"/>
                <c:pt idx="0">
                  <c:v>7000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</c14:spPr>
              </c14:invertSolidFillFmt>
            </c:ex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[1]Hoja1!$A$8</c15:sqref>
                        </c15:formulaRef>
                      </c:ext>
                    </c:extLst>
                    <c:strCache>
                      <c:ptCount val="1"/>
                      <c:pt idx="0">
                        <c:v>Frutos secos 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mc:AlternateContent xmlns:mc="http://schemas.openxmlformats.org/markup-compatibility/2006">
                    <mc:Choice xmlns:c16ac="http://schemas.microsoft.com/office/drawing/2014/chart/ac" Requires="c16ac">
                      <c16ac:multiLvlStrLit>
                        <c:ptCount val="0"/>
                      </c16ac:multiLvlStrLit>
                    </mc:Choice>
                    <mc:Fallback>
                      <c:strLit/>
                    </mc:Fallback>
                  </mc:AlternateContent>
                </c15:cat>
              </c15:filteredCategoryTitle>
            </c:ext>
            <c:ext xmlns:c16="http://schemas.microsoft.com/office/drawing/2014/chart" uri="{C3380CC4-5D6E-409C-BE32-E72D297353CC}">
              <c16:uniqueId val="{00000006-66D5-444D-962D-4DC962738A37}"/>
            </c:ext>
          </c:extLst>
        </c:ser>
        <c:ser>
          <c:idx val="7"/>
          <c:order val="7"/>
          <c:spPr>
            <a:solidFill>
              <a:srgbClr val="994010"/>
            </a:solidFill>
            <a:ln>
              <a:noFill/>
            </a:ln>
          </c:spPr>
          <c:invertIfNegative val="1"/>
          <c:val>
            <c:numRef>
              <c:f>[1]Hoja1!$B$9</c:f>
              <c:numCache>
                <c:formatCode>General</c:formatCode>
                <c:ptCount val="1"/>
                <c:pt idx="0">
                  <c:v>8000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</c14:spPr>
              </c14:invertSolidFillFmt>
            </c:ex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[1]Hoja1!$A$9</c15:sqref>
                        </c15:formulaRef>
                      </c:ext>
                    </c:extLst>
                    <c:strCache>
                      <c:ptCount val="1"/>
                      <c:pt idx="0">
                        <c:v>Paltas 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mc:AlternateContent xmlns:mc="http://schemas.openxmlformats.org/markup-compatibility/2006">
                    <mc:Choice xmlns:c16ac="http://schemas.microsoft.com/office/drawing/2014/chart/ac" Requires="c16ac">
                      <c16ac:multiLvlStrLit>
                        <c:ptCount val="0"/>
                      </c16ac:multiLvlStrLit>
                    </mc:Choice>
                    <mc:Fallback>
                      <c:strLit/>
                    </mc:Fallback>
                  </mc:AlternateContent>
                </c15:cat>
              </c15:filteredCategoryTitle>
            </c:ext>
            <c:ext xmlns:c16="http://schemas.microsoft.com/office/drawing/2014/chart" uri="{C3380CC4-5D6E-409C-BE32-E72D297353CC}">
              <c16:uniqueId val="{00000007-66D5-444D-962D-4DC962738A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99134976"/>
        <c:axId val="1479180528"/>
      </c:barChart>
      <c:catAx>
        <c:axId val="1999134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525" cmpd="sng">
            <a:solidFill>
              <a:schemeClr val="tx1">
                <a:lumMod val="15000"/>
                <a:lumOff val="85000"/>
              </a:schemeClr>
            </a:solidFill>
          </a:ln>
        </c:spPr>
        <c:txPr>
          <a:bodyPr rot="-60000000" spcFirstLastPara="1" vert="horz" wrap="square" anchor="ctr" anchorCtr="1"/>
          <a:lstStyle/>
          <a:p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  <a:endParaRPr lang="es-419"/>
          </a:p>
        </c:txPr>
        <c:crossAx val="1479180528"/>
        <c:crosses val="autoZero"/>
        <c:auto val="1"/>
        <c:lblAlgn val="ctr"/>
        <c:lblOffset val="100"/>
        <c:noMultiLvlLbl val="1"/>
      </c:catAx>
      <c:valAx>
        <c:axId val="1479180528"/>
        <c:scaling>
          <c:orientation val="minMax"/>
        </c:scaling>
        <c:delete val="0"/>
        <c:axPos val="l"/>
        <c:majorGridlines>
          <c:spPr>
            <a:ln w="9525" cmpd="sng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60000000" vert="horz" anchor="ctr" anchorCtr="1"/>
          <a:lstStyle/>
          <a:p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  <a:endParaRPr lang="es-419"/>
          </a:p>
        </c:txPr>
        <c:crossAx val="1999134976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spPr>
        <a:noFill/>
      </c:spPr>
      <c:txPr>
        <a:bodyPr rot="0" vert="horz" anchor="ctr" anchorCtr="1"/>
        <a:lstStyle/>
        <a:p>
          <a:pPr>
            <a:defRPr sz="9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  <a:endParaRPr lang="es-419"/>
        </a:p>
      </c:txPr>
    </c:legend>
    <c:plotVisOnly val="1"/>
    <c:dispBlanksAs val="zero"/>
    <c:showDLblsOverMax val="1"/>
  </c:chart>
  <c:spPr>
    <a:solidFill>
      <a:schemeClr val="bg1"/>
    </a:solidFill>
    <a:ln w="9525" cmpd="sng">
      <a:solidFill>
        <a:schemeClr val="tx1">
          <a:lumMod val="15000"/>
          <a:lumOff val="85000"/>
        </a:schemeClr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12700</xdr:colOff>
      <xdr:row>14</xdr:row>
      <xdr:rowOff>19050</xdr:rowOff>
    </xdr:from>
    <xdr:to>
      <xdr:col>5</xdr:col>
      <xdr:colOff>38100</xdr:colOff>
      <xdr:row>31</xdr:row>
      <xdr:rowOff>47625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Pedidos" displayName="TablaPedidos" ref="A5:K85" totalsRowShown="0">
  <tableColumns count="11">
    <tableColumn id="1" xr3:uid="{00000000-0010-0000-0000-000001000000}" name="ID pedido"/>
    <tableColumn id="2" xr3:uid="{00000000-0010-0000-0000-000002000000}" name="Fecha"/>
    <tableColumn id="3" xr3:uid="{00000000-0010-0000-0000-000003000000}" name="Tienda"/>
    <tableColumn id="4" xr3:uid="{00000000-0010-0000-0000-000004000000}" name="Comuna"/>
    <tableColumn id="5" xr3:uid="{00000000-0010-0000-0000-000005000000}" name="Categoría"/>
    <tableColumn id="6" xr3:uid="{00000000-0010-0000-0000-000006000000}" name="Alimento"/>
    <tableColumn id="7" xr3:uid="{00000000-0010-0000-0000-000007000000}" name="Cantidad"/>
    <tableColumn id="8" xr3:uid="{00000000-0010-0000-0000-000008000000}" name="Precio unitario"/>
    <tableColumn id="9" xr3:uid="{00000000-0010-0000-0000-000009000000}" name="Costo de despacho"/>
    <tableColumn id="10" xr3:uid="{00000000-0010-0000-0000-00000A000000}" name="Total del pedido" dataDxfId="4">
      <calculatedColumnFormula>(H6+I6*G6)</calculatedColumnFormula>
    </tableColumn>
    <tableColumn id="11" xr3:uid="{00000000-0010-0000-0000-00000B000000}" name="Estado de despacho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1" displayName="Tabla1" ref="A1:C9" totalsRowShown="0">
  <autoFilter ref="A1:C9" xr:uid="{00000000-0009-0000-0100-000002000000}"/>
  <tableColumns count="3">
    <tableColumn id="1" xr3:uid="{00000000-0010-0000-0100-000001000000}" name="Producto"/>
    <tableColumn id="2" xr3:uid="{00000000-0010-0000-0100-000002000000}" name="Precio"/>
    <tableColumn id="3" xr3:uid="{00000000-0010-0000-0100-000003000000}" name="Estado"/>
  </tableColumns>
  <tableStyleInfo name="TableStyleLight6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E7D32"/>
  </sheetPr>
  <dimension ref="A2:M91"/>
  <sheetViews>
    <sheetView showGridLines="0" tabSelected="1" topLeftCell="F1" zoomScaleNormal="100" workbookViewId="0">
      <pane ySplit="5" topLeftCell="A6" activePane="bottomLeft" state="frozen"/>
      <selection pane="bottomLeft" activeCell="M9" sqref="M9"/>
    </sheetView>
  </sheetViews>
  <sheetFormatPr baseColWidth="10" defaultColWidth="8.6640625" defaultRowHeight="14"/>
  <cols>
    <col min="1" max="2" width="13" customWidth="1"/>
    <col min="3" max="3" width="26" customWidth="1"/>
    <col min="4" max="4" width="18" customWidth="1"/>
    <col min="5" max="5" width="22" customWidth="1"/>
    <col min="6" max="6" width="27" customWidth="1"/>
    <col min="7" max="7" width="11" customWidth="1"/>
    <col min="8" max="8" width="16" customWidth="1"/>
    <col min="9" max="9" width="18" customWidth="1"/>
    <col min="10" max="10" width="17" customWidth="1"/>
    <col min="11" max="11" width="21" customWidth="1"/>
    <col min="12" max="12" width="23" customWidth="1"/>
    <col min="13" max="13" width="20.83203125" customWidth="1"/>
  </cols>
  <sheetData>
    <row r="2" spans="1:13" ht="25" customHeight="1">
      <c r="A2" s="2" t="s">
        <v>0</v>
      </c>
      <c r="B2" s="4"/>
      <c r="C2" s="4"/>
      <c r="D2" s="4"/>
      <c r="E2" s="4"/>
      <c r="F2" s="4"/>
      <c r="G2" s="4"/>
      <c r="H2" s="4"/>
      <c r="I2" s="4"/>
      <c r="J2" s="4"/>
      <c r="K2" s="4"/>
    </row>
    <row r="3" spans="1:13" ht="19" customHeight="1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</row>
    <row r="4" spans="1:13">
      <c r="A4" s="5"/>
      <c r="B4" s="5"/>
      <c r="C4" s="5"/>
      <c r="D4" s="5"/>
      <c r="E4" s="5"/>
      <c r="F4" s="5"/>
      <c r="G4" s="5"/>
      <c r="H4" s="5"/>
      <c r="I4" s="5"/>
      <c r="J4" s="5"/>
      <c r="K4" s="5"/>
    </row>
    <row r="5" spans="1:13" ht="33" customHeight="1">
      <c r="A5" s="6" t="s">
        <v>2</v>
      </c>
      <c r="B5" s="6" t="s">
        <v>3</v>
      </c>
      <c r="C5" s="6" t="s">
        <v>4</v>
      </c>
      <c r="D5" s="6" t="s">
        <v>5</v>
      </c>
      <c r="E5" s="6" t="s">
        <v>6</v>
      </c>
      <c r="F5" s="6" t="s">
        <v>7</v>
      </c>
      <c r="G5" s="6" t="s">
        <v>8</v>
      </c>
      <c r="H5" s="6" t="s">
        <v>9</v>
      </c>
      <c r="I5" s="6" t="s">
        <v>10</v>
      </c>
      <c r="J5" s="6" t="s">
        <v>11</v>
      </c>
      <c r="K5" s="6" t="s">
        <v>12</v>
      </c>
      <c r="L5" s="27" t="s">
        <v>195</v>
      </c>
      <c r="M5" t="s">
        <v>196</v>
      </c>
    </row>
    <row r="6" spans="1:13" ht="22" customHeight="1">
      <c r="A6" s="7" t="s">
        <v>13</v>
      </c>
      <c r="B6" s="9">
        <v>46235</v>
      </c>
      <c r="C6" s="7" t="s">
        <v>14</v>
      </c>
      <c r="D6" s="7" t="s">
        <v>15</v>
      </c>
      <c r="E6" s="7" t="s">
        <v>16</v>
      </c>
      <c r="F6" s="7" t="s">
        <v>17</v>
      </c>
      <c r="G6" s="10">
        <v>1</v>
      </c>
      <c r="H6" s="11">
        <v>1890</v>
      </c>
      <c r="I6" s="11">
        <v>2000</v>
      </c>
      <c r="J6" s="11">
        <f t="shared" ref="J6:J37" si="0">(H6+I6*G6)</f>
        <v>3890</v>
      </c>
      <c r="K6" s="8" t="s">
        <v>18</v>
      </c>
      <c r="L6" t="str">
        <f>IF(K6="Pendiente","Revisar atraso","Sin alerta")</f>
        <v>Revisar atraso</v>
      </c>
      <c r="M6" s="28">
        <f ca="1">TODAY()-B6</f>
        <v>75</v>
      </c>
    </row>
    <row r="7" spans="1:13" ht="22" customHeight="1">
      <c r="A7" s="7" t="s">
        <v>19</v>
      </c>
      <c r="B7" s="9">
        <v>46238</v>
      </c>
      <c r="C7" s="7" t="s">
        <v>20</v>
      </c>
      <c r="D7" s="7" t="s">
        <v>21</v>
      </c>
      <c r="E7" s="7" t="s">
        <v>22</v>
      </c>
      <c r="F7" s="7" t="s">
        <v>23</v>
      </c>
      <c r="G7" s="10">
        <v>4</v>
      </c>
      <c r="H7" s="11">
        <v>1190</v>
      </c>
      <c r="I7" s="11">
        <v>2500</v>
      </c>
      <c r="J7" s="11">
        <f t="shared" si="0"/>
        <v>11190</v>
      </c>
      <c r="K7" s="8" t="s">
        <v>18</v>
      </c>
      <c r="L7" t="str">
        <f t="shared" ref="L7:L70" si="1">IF(K7="Pendiente","Revisar atraso","Sin alerta")</f>
        <v>Revisar atraso</v>
      </c>
      <c r="M7" s="28">
        <f ca="1">TODAY()-B7</f>
        <v>72</v>
      </c>
    </row>
    <row r="8" spans="1:13" ht="22" customHeight="1">
      <c r="A8" s="7" t="s">
        <v>24</v>
      </c>
      <c r="B8" s="9">
        <v>46241</v>
      </c>
      <c r="C8" s="7" t="s">
        <v>25</v>
      </c>
      <c r="D8" s="7" t="s">
        <v>26</v>
      </c>
      <c r="E8" s="7" t="s">
        <v>27</v>
      </c>
      <c r="F8" s="7" t="s">
        <v>28</v>
      </c>
      <c r="G8" s="10">
        <v>7</v>
      </c>
      <c r="H8" s="11">
        <v>2990</v>
      </c>
      <c r="I8" s="11">
        <v>1500</v>
      </c>
      <c r="J8" s="11">
        <f t="shared" si="0"/>
        <v>13490</v>
      </c>
      <c r="K8" s="8" t="s">
        <v>29</v>
      </c>
      <c r="L8" t="str">
        <f t="shared" si="1"/>
        <v>Sin alerta</v>
      </c>
      <c r="M8" s="28">
        <f ca="1">TODAY()-B8</f>
        <v>69</v>
      </c>
    </row>
    <row r="9" spans="1:13" ht="22" customHeight="1">
      <c r="A9" s="7" t="s">
        <v>30</v>
      </c>
      <c r="B9" s="9">
        <v>46244</v>
      </c>
      <c r="C9" s="7" t="s">
        <v>31</v>
      </c>
      <c r="D9" s="7" t="s">
        <v>32</v>
      </c>
      <c r="E9" s="7" t="s">
        <v>33</v>
      </c>
      <c r="F9" s="7" t="s">
        <v>34</v>
      </c>
      <c r="G9" s="10">
        <v>2</v>
      </c>
      <c r="H9" s="11">
        <v>3390</v>
      </c>
      <c r="I9" s="11">
        <v>3000</v>
      </c>
      <c r="J9" s="11">
        <f t="shared" si="0"/>
        <v>9390</v>
      </c>
      <c r="K9" s="8" t="s">
        <v>29</v>
      </c>
      <c r="L9" t="str">
        <f t="shared" si="1"/>
        <v>Sin alerta</v>
      </c>
      <c r="M9" s="28"/>
    </row>
    <row r="10" spans="1:13" ht="22" customHeight="1">
      <c r="A10" s="7" t="s">
        <v>35</v>
      </c>
      <c r="B10" s="9">
        <v>46247</v>
      </c>
      <c r="C10" s="7" t="s">
        <v>36</v>
      </c>
      <c r="D10" s="7" t="s">
        <v>37</v>
      </c>
      <c r="E10" s="7" t="s">
        <v>38</v>
      </c>
      <c r="F10" s="7" t="s">
        <v>39</v>
      </c>
      <c r="G10" s="10">
        <v>5</v>
      </c>
      <c r="H10" s="11">
        <v>3090</v>
      </c>
      <c r="I10" s="11">
        <v>0</v>
      </c>
      <c r="J10" s="11">
        <f t="shared" si="0"/>
        <v>3090</v>
      </c>
      <c r="K10" s="8" t="s">
        <v>40</v>
      </c>
      <c r="L10" t="str">
        <f t="shared" si="1"/>
        <v>Sin alerta</v>
      </c>
      <c r="M10" s="28"/>
    </row>
    <row r="11" spans="1:13" ht="22" customHeight="1">
      <c r="A11" s="7" t="s">
        <v>41</v>
      </c>
      <c r="B11" s="9">
        <v>46250</v>
      </c>
      <c r="C11" s="7" t="s">
        <v>42</v>
      </c>
      <c r="D11" s="7" t="s">
        <v>43</v>
      </c>
      <c r="E11" s="7" t="s">
        <v>44</v>
      </c>
      <c r="F11" s="7" t="s">
        <v>45</v>
      </c>
      <c r="G11" s="10">
        <v>1</v>
      </c>
      <c r="H11" s="11">
        <v>2490</v>
      </c>
      <c r="I11" s="11">
        <v>2500</v>
      </c>
      <c r="J11" s="11">
        <f t="shared" si="0"/>
        <v>4990</v>
      </c>
      <c r="K11" s="8" t="s">
        <v>40</v>
      </c>
      <c r="L11" t="str">
        <f t="shared" si="1"/>
        <v>Sin alerta</v>
      </c>
      <c r="M11" s="28"/>
    </row>
    <row r="12" spans="1:13" ht="22" customHeight="1">
      <c r="A12" s="7" t="s">
        <v>46</v>
      </c>
      <c r="B12" s="9">
        <v>46253</v>
      </c>
      <c r="C12" s="7" t="s">
        <v>47</v>
      </c>
      <c r="D12" s="7" t="s">
        <v>48</v>
      </c>
      <c r="E12" s="7" t="s">
        <v>49</v>
      </c>
      <c r="F12" s="7" t="s">
        <v>50</v>
      </c>
      <c r="G12" s="10">
        <v>4</v>
      </c>
      <c r="H12" s="11">
        <v>3390</v>
      </c>
      <c r="I12" s="11">
        <v>1500</v>
      </c>
      <c r="J12" s="11">
        <f t="shared" si="0"/>
        <v>9390</v>
      </c>
      <c r="K12" s="8" t="s">
        <v>29</v>
      </c>
      <c r="L12" t="str">
        <f t="shared" si="1"/>
        <v>Sin alerta</v>
      </c>
      <c r="M12" s="28"/>
    </row>
    <row r="13" spans="1:13" ht="22" customHeight="1">
      <c r="A13" s="7" t="s">
        <v>51</v>
      </c>
      <c r="B13" s="9">
        <v>46256</v>
      </c>
      <c r="C13" s="7" t="s">
        <v>52</v>
      </c>
      <c r="D13" s="7" t="s">
        <v>48</v>
      </c>
      <c r="E13" s="7" t="s">
        <v>16</v>
      </c>
      <c r="F13" s="7" t="s">
        <v>53</v>
      </c>
      <c r="G13" s="10">
        <v>7</v>
      </c>
      <c r="H13" s="11">
        <v>4890</v>
      </c>
      <c r="I13" s="11">
        <v>2000</v>
      </c>
      <c r="J13" s="11">
        <f t="shared" si="0"/>
        <v>18890</v>
      </c>
      <c r="K13" s="8" t="s">
        <v>18</v>
      </c>
      <c r="L13" t="str">
        <f t="shared" si="1"/>
        <v>Revisar atraso</v>
      </c>
      <c r="M13" s="28"/>
    </row>
    <row r="14" spans="1:13" ht="22" customHeight="1">
      <c r="A14" s="7" t="s">
        <v>54</v>
      </c>
      <c r="B14" s="9">
        <v>46259</v>
      </c>
      <c r="C14" s="7" t="s">
        <v>14</v>
      </c>
      <c r="D14" s="7" t="s">
        <v>55</v>
      </c>
      <c r="E14" s="7" t="s">
        <v>44</v>
      </c>
      <c r="F14" s="7" t="s">
        <v>56</v>
      </c>
      <c r="G14" s="10">
        <v>2</v>
      </c>
      <c r="H14" s="11">
        <v>1890</v>
      </c>
      <c r="I14" s="11">
        <v>0</v>
      </c>
      <c r="J14" s="11">
        <f>(H14+I14*G14)</f>
        <v>1890</v>
      </c>
      <c r="K14" s="8" t="s">
        <v>40</v>
      </c>
      <c r="L14" t="str">
        <f t="shared" si="1"/>
        <v>Sin alerta</v>
      </c>
      <c r="M14" s="28"/>
    </row>
    <row r="15" spans="1:13" ht="22" customHeight="1">
      <c r="A15" s="7" t="s">
        <v>57</v>
      </c>
      <c r="B15" s="9">
        <v>46262</v>
      </c>
      <c r="C15" s="7" t="s">
        <v>20</v>
      </c>
      <c r="D15" s="7" t="s">
        <v>15</v>
      </c>
      <c r="E15" s="7" t="s">
        <v>58</v>
      </c>
      <c r="F15" s="7" t="s">
        <v>59</v>
      </c>
      <c r="G15" s="10">
        <v>5</v>
      </c>
      <c r="H15" s="11">
        <v>1990</v>
      </c>
      <c r="I15" s="11">
        <v>1500</v>
      </c>
      <c r="J15" s="11">
        <f t="shared" si="0"/>
        <v>9490</v>
      </c>
      <c r="K15" s="8" t="s">
        <v>40</v>
      </c>
      <c r="L15" t="str">
        <f t="shared" si="1"/>
        <v>Sin alerta</v>
      </c>
      <c r="M15" s="28"/>
    </row>
    <row r="16" spans="1:13" ht="22" customHeight="1">
      <c r="A16" s="7" t="s">
        <v>60</v>
      </c>
      <c r="B16" s="9">
        <v>46265</v>
      </c>
      <c r="C16" s="7" t="s">
        <v>25</v>
      </c>
      <c r="D16" s="7" t="s">
        <v>21</v>
      </c>
      <c r="E16" s="7" t="s">
        <v>16</v>
      </c>
      <c r="F16" s="7" t="s">
        <v>61</v>
      </c>
      <c r="G16" s="10">
        <v>1</v>
      </c>
      <c r="H16" s="11">
        <v>1790</v>
      </c>
      <c r="I16" s="11">
        <v>3000</v>
      </c>
      <c r="J16" s="11">
        <f t="shared" si="0"/>
        <v>4790</v>
      </c>
      <c r="K16" s="8" t="s">
        <v>40</v>
      </c>
      <c r="L16" t="str">
        <f t="shared" si="1"/>
        <v>Sin alerta</v>
      </c>
      <c r="M16" s="28"/>
    </row>
    <row r="17" spans="1:13" ht="22" customHeight="1">
      <c r="A17" s="7" t="s">
        <v>62</v>
      </c>
      <c r="B17" s="9">
        <v>46268</v>
      </c>
      <c r="C17" s="7" t="s">
        <v>31</v>
      </c>
      <c r="D17" s="7" t="s">
        <v>26</v>
      </c>
      <c r="E17" s="7" t="s">
        <v>22</v>
      </c>
      <c r="F17" s="7" t="s">
        <v>63</v>
      </c>
      <c r="G17" s="10">
        <v>4</v>
      </c>
      <c r="H17" s="11">
        <v>890</v>
      </c>
      <c r="I17" s="11">
        <v>2000</v>
      </c>
      <c r="J17" s="11">
        <f t="shared" si="0"/>
        <v>8890</v>
      </c>
      <c r="K17" s="8" t="s">
        <v>40</v>
      </c>
      <c r="L17" t="str">
        <f t="shared" si="1"/>
        <v>Sin alerta</v>
      </c>
      <c r="M17" s="28"/>
    </row>
    <row r="18" spans="1:13" ht="22" customHeight="1">
      <c r="A18" s="7" t="s">
        <v>64</v>
      </c>
      <c r="B18" s="9">
        <v>46271</v>
      </c>
      <c r="C18" s="7" t="s">
        <v>36</v>
      </c>
      <c r="D18" s="7" t="s">
        <v>32</v>
      </c>
      <c r="E18" s="7" t="s">
        <v>58</v>
      </c>
      <c r="F18" s="7" t="s">
        <v>65</v>
      </c>
      <c r="G18" s="10">
        <v>7</v>
      </c>
      <c r="H18" s="11">
        <v>1090</v>
      </c>
      <c r="I18" s="11">
        <v>2500</v>
      </c>
      <c r="J18" s="11">
        <f t="shared" si="0"/>
        <v>18590</v>
      </c>
      <c r="K18" s="8" t="s">
        <v>29</v>
      </c>
      <c r="L18" t="str">
        <f t="shared" si="1"/>
        <v>Sin alerta</v>
      </c>
      <c r="M18" s="28"/>
    </row>
    <row r="19" spans="1:13" ht="22" customHeight="1">
      <c r="A19" s="7" t="s">
        <v>66</v>
      </c>
      <c r="B19" s="9">
        <v>46274</v>
      </c>
      <c r="C19" s="7" t="s">
        <v>42</v>
      </c>
      <c r="D19" s="7" t="s">
        <v>37</v>
      </c>
      <c r="E19" s="7" t="s">
        <v>33</v>
      </c>
      <c r="F19" s="7" t="s">
        <v>67</v>
      </c>
      <c r="G19" s="10">
        <v>2</v>
      </c>
      <c r="H19" s="11">
        <v>1690</v>
      </c>
      <c r="I19" s="11">
        <v>1500</v>
      </c>
      <c r="J19" s="11">
        <f t="shared" si="0"/>
        <v>4690</v>
      </c>
      <c r="K19" s="8" t="s">
        <v>18</v>
      </c>
      <c r="L19" t="str">
        <f t="shared" si="1"/>
        <v>Revisar atraso</v>
      </c>
      <c r="M19" s="28"/>
    </row>
    <row r="20" spans="1:13" ht="22" customHeight="1">
      <c r="A20" s="7" t="s">
        <v>68</v>
      </c>
      <c r="B20" s="9">
        <v>46277</v>
      </c>
      <c r="C20" s="7" t="s">
        <v>47</v>
      </c>
      <c r="D20" s="7" t="s">
        <v>37</v>
      </c>
      <c r="E20" s="7" t="s">
        <v>38</v>
      </c>
      <c r="F20" s="7" t="s">
        <v>69</v>
      </c>
      <c r="G20" s="10">
        <v>5</v>
      </c>
      <c r="H20" s="11">
        <v>2290</v>
      </c>
      <c r="I20" s="11">
        <v>3000</v>
      </c>
      <c r="J20" s="11">
        <f t="shared" si="0"/>
        <v>17290</v>
      </c>
      <c r="K20" s="8" t="s">
        <v>29</v>
      </c>
      <c r="L20" t="str">
        <f t="shared" si="1"/>
        <v>Sin alerta</v>
      </c>
      <c r="M20" s="28"/>
    </row>
    <row r="21" spans="1:13" ht="22" customHeight="1">
      <c r="A21" s="7" t="s">
        <v>70</v>
      </c>
      <c r="B21" s="9">
        <v>46280</v>
      </c>
      <c r="C21" s="7" t="s">
        <v>52</v>
      </c>
      <c r="D21" s="7" t="s">
        <v>43</v>
      </c>
      <c r="E21" s="7" t="s">
        <v>27</v>
      </c>
      <c r="F21" s="7" t="s">
        <v>28</v>
      </c>
      <c r="G21" s="10">
        <v>1</v>
      </c>
      <c r="H21" s="11">
        <v>2790</v>
      </c>
      <c r="I21" s="11">
        <v>0</v>
      </c>
      <c r="J21" s="11">
        <f t="shared" si="0"/>
        <v>2790</v>
      </c>
      <c r="K21" s="8" t="s">
        <v>40</v>
      </c>
      <c r="L21" t="str">
        <f t="shared" si="1"/>
        <v>Sin alerta</v>
      </c>
      <c r="M21" s="28"/>
    </row>
    <row r="22" spans="1:13" ht="22" customHeight="1">
      <c r="A22" s="7" t="s">
        <v>71</v>
      </c>
      <c r="B22" s="9">
        <v>46235</v>
      </c>
      <c r="C22" s="7" t="s">
        <v>14</v>
      </c>
      <c r="D22" s="7" t="s">
        <v>48</v>
      </c>
      <c r="E22" s="7" t="s">
        <v>33</v>
      </c>
      <c r="F22" s="7" t="s">
        <v>72</v>
      </c>
      <c r="G22" s="10">
        <v>4</v>
      </c>
      <c r="H22" s="11">
        <v>5790</v>
      </c>
      <c r="I22" s="11">
        <v>2500</v>
      </c>
      <c r="J22" s="11">
        <f t="shared" si="0"/>
        <v>15790</v>
      </c>
      <c r="K22" s="8" t="s">
        <v>18</v>
      </c>
      <c r="L22" t="str">
        <f t="shared" si="1"/>
        <v>Revisar atraso</v>
      </c>
      <c r="M22" s="28"/>
    </row>
    <row r="23" spans="1:13" ht="22" customHeight="1">
      <c r="A23" s="7" t="s">
        <v>73</v>
      </c>
      <c r="B23" s="9">
        <v>46238</v>
      </c>
      <c r="C23" s="7" t="s">
        <v>20</v>
      </c>
      <c r="D23" s="7" t="s">
        <v>55</v>
      </c>
      <c r="E23" s="7" t="s">
        <v>38</v>
      </c>
      <c r="F23" s="7" t="s">
        <v>74</v>
      </c>
      <c r="G23" s="10">
        <v>7</v>
      </c>
      <c r="H23" s="11">
        <v>2290</v>
      </c>
      <c r="I23" s="11">
        <v>3000</v>
      </c>
      <c r="J23" s="11">
        <f t="shared" si="0"/>
        <v>23290</v>
      </c>
      <c r="K23" s="8" t="s">
        <v>18</v>
      </c>
      <c r="L23" t="str">
        <f t="shared" si="1"/>
        <v>Revisar atraso</v>
      </c>
      <c r="M23" s="28"/>
    </row>
    <row r="24" spans="1:13" ht="22" customHeight="1">
      <c r="A24" s="7" t="s">
        <v>75</v>
      </c>
      <c r="B24" s="9">
        <v>46241</v>
      </c>
      <c r="C24" s="7" t="s">
        <v>25</v>
      </c>
      <c r="D24" s="7" t="s">
        <v>15</v>
      </c>
      <c r="E24" s="7" t="s">
        <v>44</v>
      </c>
      <c r="F24" s="7" t="s">
        <v>45</v>
      </c>
      <c r="G24" s="10">
        <v>2</v>
      </c>
      <c r="H24" s="11">
        <v>2690</v>
      </c>
      <c r="I24" s="11">
        <v>2000</v>
      </c>
      <c r="J24" s="11">
        <f t="shared" si="0"/>
        <v>6690</v>
      </c>
      <c r="K24" s="8" t="s">
        <v>29</v>
      </c>
      <c r="L24" t="str">
        <f t="shared" si="1"/>
        <v>Sin alerta</v>
      </c>
      <c r="M24" s="28"/>
    </row>
    <row r="25" spans="1:13" ht="22" customHeight="1">
      <c r="A25" s="7" t="s">
        <v>76</v>
      </c>
      <c r="B25" s="9">
        <v>46244</v>
      </c>
      <c r="C25" s="7" t="s">
        <v>31</v>
      </c>
      <c r="D25" s="7" t="s">
        <v>21</v>
      </c>
      <c r="E25" s="7" t="s">
        <v>49</v>
      </c>
      <c r="F25" s="7" t="s">
        <v>77</v>
      </c>
      <c r="G25" s="10">
        <v>5</v>
      </c>
      <c r="H25" s="11">
        <v>1990</v>
      </c>
      <c r="I25" s="11">
        <v>0</v>
      </c>
      <c r="J25" s="11">
        <f t="shared" si="0"/>
        <v>1990</v>
      </c>
      <c r="K25" s="8" t="s">
        <v>29</v>
      </c>
      <c r="L25" t="str">
        <f t="shared" si="1"/>
        <v>Sin alerta</v>
      </c>
      <c r="M25" s="28"/>
    </row>
    <row r="26" spans="1:13" ht="22" customHeight="1">
      <c r="A26" s="7" t="s">
        <v>78</v>
      </c>
      <c r="B26" s="9">
        <v>46247</v>
      </c>
      <c r="C26" s="7" t="s">
        <v>36</v>
      </c>
      <c r="D26" s="7" t="s">
        <v>26</v>
      </c>
      <c r="E26" s="7" t="s">
        <v>16</v>
      </c>
      <c r="F26" s="7" t="s">
        <v>79</v>
      </c>
      <c r="G26" s="10">
        <v>1</v>
      </c>
      <c r="H26" s="11">
        <v>2090</v>
      </c>
      <c r="I26" s="11">
        <v>1500</v>
      </c>
      <c r="J26" s="11">
        <f t="shared" si="0"/>
        <v>3590</v>
      </c>
      <c r="K26" s="8" t="s">
        <v>40</v>
      </c>
      <c r="L26" t="str">
        <f t="shared" si="1"/>
        <v>Sin alerta</v>
      </c>
      <c r="M26" s="28"/>
    </row>
    <row r="27" spans="1:13" ht="22" customHeight="1">
      <c r="A27" s="7" t="s">
        <v>80</v>
      </c>
      <c r="B27" s="9">
        <v>46250</v>
      </c>
      <c r="C27" s="7" t="s">
        <v>42</v>
      </c>
      <c r="D27" s="7" t="s">
        <v>26</v>
      </c>
      <c r="E27" s="7" t="s">
        <v>44</v>
      </c>
      <c r="F27" s="7" t="s">
        <v>56</v>
      </c>
      <c r="G27" s="10">
        <v>4</v>
      </c>
      <c r="H27" s="11">
        <v>1990</v>
      </c>
      <c r="I27" s="11">
        <v>3000</v>
      </c>
      <c r="J27" s="11">
        <f t="shared" si="0"/>
        <v>13990</v>
      </c>
      <c r="K27" s="8" t="s">
        <v>40</v>
      </c>
      <c r="L27" t="str">
        <f t="shared" si="1"/>
        <v>Sin alerta</v>
      </c>
      <c r="M27" s="28"/>
    </row>
    <row r="28" spans="1:13" ht="22" customHeight="1">
      <c r="A28" s="7" t="s">
        <v>81</v>
      </c>
      <c r="B28" s="9">
        <v>46253</v>
      </c>
      <c r="C28" s="7" t="s">
        <v>47</v>
      </c>
      <c r="D28" s="7" t="s">
        <v>32</v>
      </c>
      <c r="E28" s="7" t="s">
        <v>58</v>
      </c>
      <c r="F28" s="7" t="s">
        <v>82</v>
      </c>
      <c r="G28" s="10">
        <v>7</v>
      </c>
      <c r="H28" s="11">
        <v>2290</v>
      </c>
      <c r="I28" s="11">
        <v>2000</v>
      </c>
      <c r="J28" s="11">
        <f t="shared" si="0"/>
        <v>16290</v>
      </c>
      <c r="K28" s="8" t="s">
        <v>29</v>
      </c>
      <c r="L28" t="str">
        <f t="shared" si="1"/>
        <v>Sin alerta</v>
      </c>
      <c r="M28" s="28"/>
    </row>
    <row r="29" spans="1:13" ht="22" customHeight="1">
      <c r="A29" s="7" t="s">
        <v>83</v>
      </c>
      <c r="B29" s="9">
        <v>46256</v>
      </c>
      <c r="C29" s="7" t="s">
        <v>52</v>
      </c>
      <c r="D29" s="7" t="s">
        <v>37</v>
      </c>
      <c r="E29" s="7" t="s">
        <v>16</v>
      </c>
      <c r="F29" s="7" t="s">
        <v>17</v>
      </c>
      <c r="G29" s="10">
        <v>2</v>
      </c>
      <c r="H29" s="11">
        <v>1890</v>
      </c>
      <c r="I29" s="11">
        <v>2500</v>
      </c>
      <c r="J29" s="11">
        <f t="shared" si="0"/>
        <v>6890</v>
      </c>
      <c r="K29" s="8" t="s">
        <v>18</v>
      </c>
      <c r="L29" t="str">
        <f t="shared" si="1"/>
        <v>Revisar atraso</v>
      </c>
      <c r="M29" s="28"/>
    </row>
    <row r="30" spans="1:13" ht="22" customHeight="1">
      <c r="A30" s="7" t="s">
        <v>84</v>
      </c>
      <c r="B30" s="9">
        <v>46259</v>
      </c>
      <c r="C30" s="7" t="s">
        <v>14</v>
      </c>
      <c r="D30" s="7" t="s">
        <v>43</v>
      </c>
      <c r="E30" s="7" t="s">
        <v>22</v>
      </c>
      <c r="F30" s="7" t="s">
        <v>63</v>
      </c>
      <c r="G30" s="10">
        <v>5</v>
      </c>
      <c r="H30" s="11">
        <v>690</v>
      </c>
      <c r="I30" s="11">
        <v>1500</v>
      </c>
      <c r="J30" s="11">
        <f t="shared" si="0"/>
        <v>8190</v>
      </c>
      <c r="K30" s="8" t="s">
        <v>40</v>
      </c>
      <c r="L30" t="str">
        <f t="shared" si="1"/>
        <v>Sin alerta</v>
      </c>
      <c r="M30" s="28"/>
    </row>
    <row r="31" spans="1:13" ht="22" customHeight="1">
      <c r="A31" s="7" t="s">
        <v>85</v>
      </c>
      <c r="B31" s="9">
        <v>46262</v>
      </c>
      <c r="C31" s="7" t="s">
        <v>20</v>
      </c>
      <c r="D31" s="7" t="s">
        <v>48</v>
      </c>
      <c r="E31" s="7" t="s">
        <v>27</v>
      </c>
      <c r="F31" s="7" t="s">
        <v>86</v>
      </c>
      <c r="G31" s="10">
        <v>1</v>
      </c>
      <c r="H31" s="11">
        <v>4590</v>
      </c>
      <c r="I31" s="11">
        <v>2000</v>
      </c>
      <c r="J31" s="11">
        <f t="shared" si="0"/>
        <v>6590</v>
      </c>
      <c r="K31" s="8" t="s">
        <v>40</v>
      </c>
      <c r="L31" t="str">
        <f t="shared" si="1"/>
        <v>Sin alerta</v>
      </c>
      <c r="M31" s="28"/>
    </row>
    <row r="32" spans="1:13" ht="22" customHeight="1">
      <c r="A32" s="7" t="s">
        <v>87</v>
      </c>
      <c r="B32" s="9">
        <v>46265</v>
      </c>
      <c r="C32" s="7" t="s">
        <v>25</v>
      </c>
      <c r="D32" s="7" t="s">
        <v>55</v>
      </c>
      <c r="E32" s="7" t="s">
        <v>33</v>
      </c>
      <c r="F32" s="7" t="s">
        <v>34</v>
      </c>
      <c r="G32" s="10">
        <v>4</v>
      </c>
      <c r="H32" s="11">
        <v>3290</v>
      </c>
      <c r="I32" s="11">
        <v>0</v>
      </c>
      <c r="J32" s="11">
        <f t="shared" si="0"/>
        <v>3290</v>
      </c>
      <c r="K32" s="8" t="s">
        <v>40</v>
      </c>
      <c r="L32" t="str">
        <f t="shared" si="1"/>
        <v>Sin alerta</v>
      </c>
      <c r="M32" s="28"/>
    </row>
    <row r="33" spans="1:13" ht="22" customHeight="1">
      <c r="A33" s="7" t="s">
        <v>88</v>
      </c>
      <c r="B33" s="9">
        <v>46268</v>
      </c>
      <c r="C33" s="7" t="s">
        <v>31</v>
      </c>
      <c r="D33" s="7" t="s">
        <v>15</v>
      </c>
      <c r="E33" s="7" t="s">
        <v>38</v>
      </c>
      <c r="F33" s="7" t="s">
        <v>69</v>
      </c>
      <c r="G33" s="10">
        <v>7</v>
      </c>
      <c r="H33" s="11">
        <v>2390</v>
      </c>
      <c r="I33" s="11">
        <v>2500</v>
      </c>
      <c r="J33" s="11">
        <f t="shared" si="0"/>
        <v>19890</v>
      </c>
      <c r="K33" s="8" t="s">
        <v>40</v>
      </c>
      <c r="L33" t="str">
        <f t="shared" si="1"/>
        <v>Sin alerta</v>
      </c>
      <c r="M33" s="28"/>
    </row>
    <row r="34" spans="1:13" ht="22" customHeight="1">
      <c r="A34" s="7" t="s">
        <v>89</v>
      </c>
      <c r="B34" s="9">
        <v>46271</v>
      </c>
      <c r="C34" s="7" t="s">
        <v>36</v>
      </c>
      <c r="D34" s="7" t="s">
        <v>15</v>
      </c>
      <c r="E34" s="7" t="s">
        <v>44</v>
      </c>
      <c r="F34" s="7" t="s">
        <v>90</v>
      </c>
      <c r="G34" s="10">
        <v>2</v>
      </c>
      <c r="H34" s="11">
        <v>2890</v>
      </c>
      <c r="I34" s="11">
        <v>3000</v>
      </c>
      <c r="J34" s="11">
        <f t="shared" si="0"/>
        <v>8890</v>
      </c>
      <c r="K34" s="8" t="s">
        <v>29</v>
      </c>
      <c r="L34" t="str">
        <f t="shared" si="1"/>
        <v>Sin alerta</v>
      </c>
      <c r="M34" s="28"/>
    </row>
    <row r="35" spans="1:13" ht="22" customHeight="1">
      <c r="A35" s="7" t="s">
        <v>91</v>
      </c>
      <c r="B35" s="9">
        <v>46274</v>
      </c>
      <c r="C35" s="7" t="s">
        <v>42</v>
      </c>
      <c r="D35" s="7" t="s">
        <v>21</v>
      </c>
      <c r="E35" s="7" t="s">
        <v>49</v>
      </c>
      <c r="F35" s="7" t="s">
        <v>50</v>
      </c>
      <c r="G35" s="10">
        <v>5</v>
      </c>
      <c r="H35" s="11">
        <v>3590</v>
      </c>
      <c r="I35" s="11">
        <v>2000</v>
      </c>
      <c r="J35" s="11">
        <f t="shared" si="0"/>
        <v>13590</v>
      </c>
      <c r="K35" s="8" t="s">
        <v>18</v>
      </c>
      <c r="L35" t="str">
        <f t="shared" si="1"/>
        <v>Revisar atraso</v>
      </c>
      <c r="M35" s="28"/>
    </row>
    <row r="36" spans="1:13" ht="22" customHeight="1">
      <c r="A36" s="7" t="s">
        <v>92</v>
      </c>
      <c r="B36" s="9">
        <v>46277</v>
      </c>
      <c r="C36" s="7" t="s">
        <v>47</v>
      </c>
      <c r="D36" s="7" t="s">
        <v>26</v>
      </c>
      <c r="E36" s="7" t="s">
        <v>38</v>
      </c>
      <c r="F36" s="7" t="s">
        <v>74</v>
      </c>
      <c r="G36" s="10">
        <v>1</v>
      </c>
      <c r="H36" s="11">
        <v>2390</v>
      </c>
      <c r="I36" s="11">
        <v>0</v>
      </c>
      <c r="J36" s="11">
        <f t="shared" si="0"/>
        <v>2390</v>
      </c>
      <c r="K36" s="8" t="s">
        <v>29</v>
      </c>
      <c r="L36" t="str">
        <f t="shared" si="1"/>
        <v>Sin alerta</v>
      </c>
      <c r="M36" s="28"/>
    </row>
    <row r="37" spans="1:13" ht="22" customHeight="1">
      <c r="A37" s="7" t="s">
        <v>93</v>
      </c>
      <c r="B37" s="9">
        <v>46280</v>
      </c>
      <c r="C37" s="7" t="s">
        <v>52</v>
      </c>
      <c r="D37" s="7" t="s">
        <v>32</v>
      </c>
      <c r="E37" s="7" t="s">
        <v>44</v>
      </c>
      <c r="F37" s="7" t="s">
        <v>94</v>
      </c>
      <c r="G37" s="10">
        <v>4</v>
      </c>
      <c r="H37" s="11">
        <v>990</v>
      </c>
      <c r="I37" s="11">
        <v>1500</v>
      </c>
      <c r="J37" s="11">
        <f t="shared" si="0"/>
        <v>6990</v>
      </c>
      <c r="K37" s="8" t="s">
        <v>40</v>
      </c>
      <c r="L37" t="str">
        <f t="shared" si="1"/>
        <v>Sin alerta</v>
      </c>
      <c r="M37" s="28"/>
    </row>
    <row r="38" spans="1:13" ht="22" customHeight="1">
      <c r="A38" s="7" t="s">
        <v>95</v>
      </c>
      <c r="B38" s="9">
        <v>46235</v>
      </c>
      <c r="C38" s="7" t="s">
        <v>14</v>
      </c>
      <c r="D38" s="7" t="s">
        <v>37</v>
      </c>
      <c r="E38" s="7" t="s">
        <v>58</v>
      </c>
      <c r="F38" s="7" t="s">
        <v>59</v>
      </c>
      <c r="G38" s="10">
        <v>7</v>
      </c>
      <c r="H38" s="11">
        <v>1690</v>
      </c>
      <c r="I38" s="11">
        <v>3000</v>
      </c>
      <c r="J38" s="11">
        <f t="shared" ref="J38:J69" si="2">(H38+I38*G38)</f>
        <v>22690</v>
      </c>
      <c r="K38" s="8" t="s">
        <v>18</v>
      </c>
      <c r="L38" t="str">
        <f t="shared" si="1"/>
        <v>Revisar atraso</v>
      </c>
      <c r="M38" s="28"/>
    </row>
    <row r="39" spans="1:13" ht="22" customHeight="1">
      <c r="A39" s="7" t="s">
        <v>96</v>
      </c>
      <c r="B39" s="9">
        <v>46238</v>
      </c>
      <c r="C39" s="7" t="s">
        <v>20</v>
      </c>
      <c r="D39" s="7" t="s">
        <v>43</v>
      </c>
      <c r="E39" s="7" t="s">
        <v>16</v>
      </c>
      <c r="F39" s="7" t="s">
        <v>79</v>
      </c>
      <c r="G39" s="10">
        <v>2</v>
      </c>
      <c r="H39" s="11">
        <v>1990</v>
      </c>
      <c r="I39" s="11">
        <v>0</v>
      </c>
      <c r="J39" s="11">
        <f t="shared" si="2"/>
        <v>1990</v>
      </c>
      <c r="K39" s="8" t="s">
        <v>18</v>
      </c>
      <c r="L39" t="str">
        <f t="shared" si="1"/>
        <v>Revisar atraso</v>
      </c>
      <c r="M39" s="28"/>
    </row>
    <row r="40" spans="1:13" ht="22" customHeight="1">
      <c r="A40" s="7" t="s">
        <v>97</v>
      </c>
      <c r="B40" s="9">
        <v>46241</v>
      </c>
      <c r="C40" s="7" t="s">
        <v>25</v>
      </c>
      <c r="D40" s="7" t="s">
        <v>48</v>
      </c>
      <c r="E40" s="7" t="s">
        <v>22</v>
      </c>
      <c r="F40" s="7" t="s">
        <v>98</v>
      </c>
      <c r="G40" s="10">
        <v>5</v>
      </c>
      <c r="H40" s="11">
        <v>3690</v>
      </c>
      <c r="I40" s="11">
        <v>2500</v>
      </c>
      <c r="J40" s="11">
        <f t="shared" si="2"/>
        <v>16190</v>
      </c>
      <c r="K40" s="8" t="s">
        <v>29</v>
      </c>
      <c r="L40" t="str">
        <f t="shared" si="1"/>
        <v>Sin alerta</v>
      </c>
      <c r="M40" s="28"/>
    </row>
    <row r="41" spans="1:13" ht="22" customHeight="1">
      <c r="A41" s="7" t="s">
        <v>99</v>
      </c>
      <c r="B41" s="9">
        <v>46244</v>
      </c>
      <c r="C41" s="7" t="s">
        <v>31</v>
      </c>
      <c r="D41" s="7" t="s">
        <v>48</v>
      </c>
      <c r="E41" s="7" t="s">
        <v>58</v>
      </c>
      <c r="F41" s="7" t="s">
        <v>65</v>
      </c>
      <c r="G41" s="10">
        <v>1</v>
      </c>
      <c r="H41" s="11">
        <v>1290</v>
      </c>
      <c r="I41" s="11">
        <v>1500</v>
      </c>
      <c r="J41" s="11">
        <f t="shared" si="2"/>
        <v>2790</v>
      </c>
      <c r="K41" s="8" t="s">
        <v>29</v>
      </c>
      <c r="L41" t="str">
        <f t="shared" si="1"/>
        <v>Sin alerta</v>
      </c>
      <c r="M41" s="28"/>
    </row>
    <row r="42" spans="1:13" ht="22" customHeight="1">
      <c r="A42" s="7" t="s">
        <v>100</v>
      </c>
      <c r="B42" s="9">
        <v>46247</v>
      </c>
      <c r="C42" s="7" t="s">
        <v>36</v>
      </c>
      <c r="D42" s="7" t="s">
        <v>55</v>
      </c>
      <c r="E42" s="7" t="s">
        <v>16</v>
      </c>
      <c r="F42" s="7" t="s">
        <v>17</v>
      </c>
      <c r="G42" s="10">
        <v>4</v>
      </c>
      <c r="H42" s="11">
        <v>1890</v>
      </c>
      <c r="I42" s="11">
        <v>2000</v>
      </c>
      <c r="J42" s="11">
        <f t="shared" si="2"/>
        <v>9890</v>
      </c>
      <c r="K42" s="8" t="s">
        <v>40</v>
      </c>
      <c r="L42" t="str">
        <f t="shared" si="1"/>
        <v>Sin alerta</v>
      </c>
      <c r="M42" s="28"/>
    </row>
    <row r="43" spans="1:13" ht="22" customHeight="1">
      <c r="A43" s="7" t="s">
        <v>101</v>
      </c>
      <c r="B43" s="9">
        <v>46250</v>
      </c>
      <c r="C43" s="7" t="s">
        <v>42</v>
      </c>
      <c r="D43" s="7" t="s">
        <v>15</v>
      </c>
      <c r="E43" s="7" t="s">
        <v>22</v>
      </c>
      <c r="F43" s="7" t="s">
        <v>23</v>
      </c>
      <c r="G43" s="10">
        <v>7</v>
      </c>
      <c r="H43" s="11">
        <v>1190</v>
      </c>
      <c r="I43" s="11">
        <v>0</v>
      </c>
      <c r="J43" s="11">
        <f t="shared" si="2"/>
        <v>1190</v>
      </c>
      <c r="K43" s="8" t="s">
        <v>40</v>
      </c>
      <c r="L43" t="str">
        <f t="shared" si="1"/>
        <v>Sin alerta</v>
      </c>
      <c r="M43" s="28"/>
    </row>
    <row r="44" spans="1:13" ht="22" customHeight="1">
      <c r="A44" s="7" t="s">
        <v>102</v>
      </c>
      <c r="B44" s="9">
        <v>46253</v>
      </c>
      <c r="C44" s="7" t="s">
        <v>47</v>
      </c>
      <c r="D44" s="7" t="s">
        <v>21</v>
      </c>
      <c r="E44" s="7" t="s">
        <v>27</v>
      </c>
      <c r="F44" s="7" t="s">
        <v>28</v>
      </c>
      <c r="G44" s="10">
        <v>2</v>
      </c>
      <c r="H44" s="11">
        <v>2990</v>
      </c>
      <c r="I44" s="11">
        <v>2500</v>
      </c>
      <c r="J44" s="11">
        <f t="shared" si="2"/>
        <v>7990</v>
      </c>
      <c r="K44" s="8" t="s">
        <v>29</v>
      </c>
      <c r="L44" t="str">
        <f t="shared" si="1"/>
        <v>Sin alerta</v>
      </c>
      <c r="M44" s="28"/>
    </row>
    <row r="45" spans="1:13" ht="22" customHeight="1">
      <c r="A45" s="7" t="s">
        <v>103</v>
      </c>
      <c r="B45" s="9">
        <v>46256</v>
      </c>
      <c r="C45" s="7" t="s">
        <v>52</v>
      </c>
      <c r="D45" s="7" t="s">
        <v>26</v>
      </c>
      <c r="E45" s="7" t="s">
        <v>33</v>
      </c>
      <c r="F45" s="7" t="s">
        <v>34</v>
      </c>
      <c r="G45" s="10">
        <v>5</v>
      </c>
      <c r="H45" s="11">
        <v>3090</v>
      </c>
      <c r="I45" s="11">
        <v>3000</v>
      </c>
      <c r="J45" s="11">
        <f t="shared" si="2"/>
        <v>18090</v>
      </c>
      <c r="K45" s="8" t="s">
        <v>18</v>
      </c>
      <c r="L45" t="str">
        <f t="shared" si="1"/>
        <v>Revisar atraso</v>
      </c>
      <c r="M45" s="28"/>
    </row>
    <row r="46" spans="1:13" ht="22" customHeight="1">
      <c r="A46" s="7" t="s">
        <v>104</v>
      </c>
      <c r="B46" s="9">
        <v>46259</v>
      </c>
      <c r="C46" s="7" t="s">
        <v>14</v>
      </c>
      <c r="D46" s="7" t="s">
        <v>32</v>
      </c>
      <c r="E46" s="7" t="s">
        <v>38</v>
      </c>
      <c r="F46" s="7" t="s">
        <v>39</v>
      </c>
      <c r="G46" s="10">
        <v>1</v>
      </c>
      <c r="H46" s="11">
        <v>2790</v>
      </c>
      <c r="I46" s="11">
        <v>2000</v>
      </c>
      <c r="J46" s="11">
        <f t="shared" si="2"/>
        <v>4790</v>
      </c>
      <c r="K46" s="8" t="s">
        <v>40</v>
      </c>
      <c r="L46" t="str">
        <f t="shared" si="1"/>
        <v>Sin alerta</v>
      </c>
      <c r="M46" s="28"/>
    </row>
    <row r="47" spans="1:13" ht="22" customHeight="1">
      <c r="A47" s="7" t="s">
        <v>105</v>
      </c>
      <c r="B47" s="9">
        <v>46262</v>
      </c>
      <c r="C47" s="7" t="s">
        <v>20</v>
      </c>
      <c r="D47" s="7" t="s">
        <v>37</v>
      </c>
      <c r="E47" s="7" t="s">
        <v>44</v>
      </c>
      <c r="F47" s="7" t="s">
        <v>45</v>
      </c>
      <c r="G47" s="10">
        <v>4</v>
      </c>
      <c r="H47" s="11">
        <v>2190</v>
      </c>
      <c r="I47" s="11">
        <v>2500</v>
      </c>
      <c r="J47" s="11">
        <f t="shared" si="2"/>
        <v>12190</v>
      </c>
      <c r="K47" s="8" t="s">
        <v>40</v>
      </c>
      <c r="L47" t="str">
        <f t="shared" si="1"/>
        <v>Sin alerta</v>
      </c>
      <c r="M47" s="28"/>
    </row>
    <row r="48" spans="1:13" ht="22" customHeight="1">
      <c r="A48" s="7" t="s">
        <v>106</v>
      </c>
      <c r="B48" s="9">
        <v>46265</v>
      </c>
      <c r="C48" s="7" t="s">
        <v>25</v>
      </c>
      <c r="D48" s="7" t="s">
        <v>37</v>
      </c>
      <c r="E48" s="7" t="s">
        <v>49</v>
      </c>
      <c r="F48" s="7" t="s">
        <v>50</v>
      </c>
      <c r="G48" s="10">
        <v>7</v>
      </c>
      <c r="H48" s="11">
        <v>3790</v>
      </c>
      <c r="I48" s="11">
        <v>1500</v>
      </c>
      <c r="J48" s="11">
        <f t="shared" si="2"/>
        <v>14290</v>
      </c>
      <c r="K48" s="8" t="s">
        <v>40</v>
      </c>
      <c r="L48" t="str">
        <f t="shared" si="1"/>
        <v>Sin alerta</v>
      </c>
      <c r="M48" s="28"/>
    </row>
    <row r="49" spans="1:13" ht="22" customHeight="1">
      <c r="A49" s="7" t="s">
        <v>107</v>
      </c>
      <c r="B49" s="9">
        <v>46268</v>
      </c>
      <c r="C49" s="7" t="s">
        <v>31</v>
      </c>
      <c r="D49" s="7" t="s">
        <v>43</v>
      </c>
      <c r="E49" s="7" t="s">
        <v>16</v>
      </c>
      <c r="F49" s="7" t="s">
        <v>53</v>
      </c>
      <c r="G49" s="10">
        <v>2</v>
      </c>
      <c r="H49" s="11">
        <v>5290</v>
      </c>
      <c r="I49" s="11">
        <v>3000</v>
      </c>
      <c r="J49" s="11">
        <f t="shared" si="2"/>
        <v>11290</v>
      </c>
      <c r="K49" s="8" t="s">
        <v>40</v>
      </c>
      <c r="L49" t="str">
        <f t="shared" si="1"/>
        <v>Sin alerta</v>
      </c>
      <c r="M49" s="28"/>
    </row>
    <row r="50" spans="1:13" ht="22" customHeight="1">
      <c r="A50" s="7" t="s">
        <v>108</v>
      </c>
      <c r="B50" s="9">
        <v>46271</v>
      </c>
      <c r="C50" s="7" t="s">
        <v>36</v>
      </c>
      <c r="D50" s="7" t="s">
        <v>48</v>
      </c>
      <c r="E50" s="7" t="s">
        <v>44</v>
      </c>
      <c r="F50" s="7" t="s">
        <v>56</v>
      </c>
      <c r="G50" s="10">
        <v>5</v>
      </c>
      <c r="H50" s="11">
        <v>2290</v>
      </c>
      <c r="I50" s="11">
        <v>0</v>
      </c>
      <c r="J50" s="11">
        <f t="shared" si="2"/>
        <v>2290</v>
      </c>
      <c r="K50" s="8" t="s">
        <v>29</v>
      </c>
      <c r="L50" t="str">
        <f t="shared" si="1"/>
        <v>Sin alerta</v>
      </c>
      <c r="M50" s="28"/>
    </row>
    <row r="51" spans="1:13" ht="22" customHeight="1">
      <c r="A51" s="7" t="s">
        <v>109</v>
      </c>
      <c r="B51" s="9">
        <v>46274</v>
      </c>
      <c r="C51" s="7" t="s">
        <v>42</v>
      </c>
      <c r="D51" s="7" t="s">
        <v>55</v>
      </c>
      <c r="E51" s="7" t="s">
        <v>58</v>
      </c>
      <c r="F51" s="7" t="s">
        <v>59</v>
      </c>
      <c r="G51" s="10">
        <v>1</v>
      </c>
      <c r="H51" s="11">
        <v>1790</v>
      </c>
      <c r="I51" s="11">
        <v>2500</v>
      </c>
      <c r="J51" s="11">
        <f t="shared" si="2"/>
        <v>4290</v>
      </c>
      <c r="K51" s="8" t="s">
        <v>18</v>
      </c>
      <c r="L51" t="str">
        <f t="shared" si="1"/>
        <v>Revisar atraso</v>
      </c>
      <c r="M51" s="28"/>
    </row>
    <row r="52" spans="1:13" ht="22" customHeight="1">
      <c r="A52" s="7" t="s">
        <v>110</v>
      </c>
      <c r="B52" s="9">
        <v>46277</v>
      </c>
      <c r="C52" s="7" t="s">
        <v>47</v>
      </c>
      <c r="D52" s="7" t="s">
        <v>15</v>
      </c>
      <c r="E52" s="7" t="s">
        <v>16</v>
      </c>
      <c r="F52" s="7" t="s">
        <v>61</v>
      </c>
      <c r="G52" s="10">
        <v>4</v>
      </c>
      <c r="H52" s="11">
        <v>1590</v>
      </c>
      <c r="I52" s="11">
        <v>1500</v>
      </c>
      <c r="J52" s="11">
        <f t="shared" si="2"/>
        <v>7590</v>
      </c>
      <c r="K52" s="8" t="s">
        <v>29</v>
      </c>
      <c r="L52" t="str">
        <f t="shared" si="1"/>
        <v>Sin alerta</v>
      </c>
      <c r="M52" s="28"/>
    </row>
    <row r="53" spans="1:13" ht="22" customHeight="1">
      <c r="A53" s="7" t="s">
        <v>111</v>
      </c>
      <c r="B53" s="9">
        <v>46280</v>
      </c>
      <c r="C53" s="7" t="s">
        <v>52</v>
      </c>
      <c r="D53" s="7" t="s">
        <v>21</v>
      </c>
      <c r="E53" s="7" t="s">
        <v>22</v>
      </c>
      <c r="F53" s="7" t="s">
        <v>63</v>
      </c>
      <c r="G53" s="10">
        <v>7</v>
      </c>
      <c r="H53" s="11">
        <v>690</v>
      </c>
      <c r="I53" s="11">
        <v>2000</v>
      </c>
      <c r="J53" s="11">
        <f t="shared" si="2"/>
        <v>14690</v>
      </c>
      <c r="K53" s="8" t="s">
        <v>40</v>
      </c>
      <c r="L53" t="str">
        <f t="shared" si="1"/>
        <v>Sin alerta</v>
      </c>
      <c r="M53" s="28"/>
    </row>
    <row r="54" spans="1:13" ht="22" customHeight="1">
      <c r="A54" s="7" t="s">
        <v>112</v>
      </c>
      <c r="B54" s="9">
        <v>46235</v>
      </c>
      <c r="C54" s="7" t="s">
        <v>14</v>
      </c>
      <c r="D54" s="7" t="s">
        <v>26</v>
      </c>
      <c r="E54" s="7" t="s">
        <v>58</v>
      </c>
      <c r="F54" s="7" t="s">
        <v>65</v>
      </c>
      <c r="G54" s="10">
        <v>2</v>
      </c>
      <c r="H54" s="11">
        <v>1090</v>
      </c>
      <c r="I54" s="11">
        <v>0</v>
      </c>
      <c r="J54" s="11">
        <f t="shared" si="2"/>
        <v>1090</v>
      </c>
      <c r="K54" s="8" t="s">
        <v>18</v>
      </c>
      <c r="L54" t="str">
        <f t="shared" si="1"/>
        <v>Revisar atraso</v>
      </c>
      <c r="M54" s="28"/>
    </row>
    <row r="55" spans="1:13" ht="22" customHeight="1">
      <c r="A55" s="7" t="s">
        <v>113</v>
      </c>
      <c r="B55" s="9">
        <v>46238</v>
      </c>
      <c r="C55" s="7" t="s">
        <v>20</v>
      </c>
      <c r="D55" s="7" t="s">
        <v>26</v>
      </c>
      <c r="E55" s="7" t="s">
        <v>33</v>
      </c>
      <c r="F55" s="7" t="s">
        <v>67</v>
      </c>
      <c r="G55" s="10">
        <v>5</v>
      </c>
      <c r="H55" s="11">
        <v>1690</v>
      </c>
      <c r="I55" s="11">
        <v>1500</v>
      </c>
      <c r="J55" s="11">
        <f t="shared" si="2"/>
        <v>9190</v>
      </c>
      <c r="K55" s="8" t="s">
        <v>18</v>
      </c>
      <c r="L55" t="str">
        <f t="shared" si="1"/>
        <v>Revisar atraso</v>
      </c>
      <c r="M55" s="28"/>
    </row>
    <row r="56" spans="1:13" ht="22" customHeight="1">
      <c r="A56" s="7" t="s">
        <v>114</v>
      </c>
      <c r="B56" s="9">
        <v>46241</v>
      </c>
      <c r="C56" s="7" t="s">
        <v>25</v>
      </c>
      <c r="D56" s="7" t="s">
        <v>32</v>
      </c>
      <c r="E56" s="7" t="s">
        <v>38</v>
      </c>
      <c r="F56" s="7" t="s">
        <v>69</v>
      </c>
      <c r="G56" s="10">
        <v>1</v>
      </c>
      <c r="H56" s="11">
        <v>2290</v>
      </c>
      <c r="I56" s="11">
        <v>3000</v>
      </c>
      <c r="J56" s="11">
        <f t="shared" si="2"/>
        <v>5290</v>
      </c>
      <c r="K56" s="8" t="s">
        <v>29</v>
      </c>
      <c r="L56" t="str">
        <f t="shared" si="1"/>
        <v>Sin alerta</v>
      </c>
      <c r="M56" s="28"/>
    </row>
    <row r="57" spans="1:13" ht="22" customHeight="1">
      <c r="A57" s="7" t="s">
        <v>115</v>
      </c>
      <c r="B57" s="9">
        <v>46244</v>
      </c>
      <c r="C57" s="7" t="s">
        <v>31</v>
      </c>
      <c r="D57" s="7" t="s">
        <v>37</v>
      </c>
      <c r="E57" s="7" t="s">
        <v>27</v>
      </c>
      <c r="F57" s="7" t="s">
        <v>28</v>
      </c>
      <c r="G57" s="10">
        <v>4</v>
      </c>
      <c r="H57" s="11">
        <v>3090</v>
      </c>
      <c r="I57" s="11">
        <v>2000</v>
      </c>
      <c r="J57" s="11">
        <f t="shared" si="2"/>
        <v>11090</v>
      </c>
      <c r="K57" s="8" t="s">
        <v>29</v>
      </c>
      <c r="L57" t="str">
        <f t="shared" si="1"/>
        <v>Sin alerta</v>
      </c>
      <c r="M57" s="28"/>
    </row>
    <row r="58" spans="1:13" ht="22" customHeight="1">
      <c r="A58" s="7" t="s">
        <v>116</v>
      </c>
      <c r="B58" s="9">
        <v>46247</v>
      </c>
      <c r="C58" s="7" t="s">
        <v>36</v>
      </c>
      <c r="D58" s="7" t="s">
        <v>43</v>
      </c>
      <c r="E58" s="7" t="s">
        <v>33</v>
      </c>
      <c r="F58" s="7" t="s">
        <v>72</v>
      </c>
      <c r="G58" s="10">
        <v>7</v>
      </c>
      <c r="H58" s="11">
        <v>6090</v>
      </c>
      <c r="I58" s="11">
        <v>2500</v>
      </c>
      <c r="J58" s="11">
        <f t="shared" si="2"/>
        <v>23590</v>
      </c>
      <c r="K58" s="8" t="s">
        <v>40</v>
      </c>
      <c r="L58" t="str">
        <f t="shared" si="1"/>
        <v>Sin alerta</v>
      </c>
      <c r="M58" s="28"/>
    </row>
    <row r="59" spans="1:13" ht="22" customHeight="1">
      <c r="A59" s="7" t="s">
        <v>117</v>
      </c>
      <c r="B59" s="9">
        <v>46250</v>
      </c>
      <c r="C59" s="7" t="s">
        <v>42</v>
      </c>
      <c r="D59" s="7" t="s">
        <v>48</v>
      </c>
      <c r="E59" s="7" t="s">
        <v>38</v>
      </c>
      <c r="F59" s="7" t="s">
        <v>74</v>
      </c>
      <c r="G59" s="10">
        <v>2</v>
      </c>
      <c r="H59" s="11">
        <v>2590</v>
      </c>
      <c r="I59" s="11">
        <v>1500</v>
      </c>
      <c r="J59" s="11">
        <f t="shared" si="2"/>
        <v>5590</v>
      </c>
      <c r="K59" s="8" t="s">
        <v>40</v>
      </c>
      <c r="L59" t="str">
        <f t="shared" si="1"/>
        <v>Sin alerta</v>
      </c>
      <c r="M59" s="28"/>
    </row>
    <row r="60" spans="1:13" ht="22" customHeight="1">
      <c r="A60" s="7" t="s">
        <v>118</v>
      </c>
      <c r="B60" s="9">
        <v>46253</v>
      </c>
      <c r="C60" s="7" t="s">
        <v>47</v>
      </c>
      <c r="D60" s="7" t="s">
        <v>55</v>
      </c>
      <c r="E60" s="7" t="s">
        <v>44</v>
      </c>
      <c r="F60" s="7" t="s">
        <v>45</v>
      </c>
      <c r="G60" s="10">
        <v>5</v>
      </c>
      <c r="H60" s="11">
        <v>2290</v>
      </c>
      <c r="I60" s="11">
        <v>3000</v>
      </c>
      <c r="J60" s="11">
        <f t="shared" si="2"/>
        <v>17290</v>
      </c>
      <c r="K60" s="8" t="s">
        <v>29</v>
      </c>
      <c r="L60" t="str">
        <f t="shared" si="1"/>
        <v>Sin alerta</v>
      </c>
      <c r="M60" s="28"/>
    </row>
    <row r="61" spans="1:13" ht="22" customHeight="1">
      <c r="A61" s="7" t="s">
        <v>119</v>
      </c>
      <c r="B61" s="9">
        <v>46256</v>
      </c>
      <c r="C61" s="7" t="s">
        <v>52</v>
      </c>
      <c r="D61" s="7" t="s">
        <v>15</v>
      </c>
      <c r="E61" s="7" t="s">
        <v>49</v>
      </c>
      <c r="F61" s="7" t="s">
        <v>77</v>
      </c>
      <c r="G61" s="10">
        <v>1</v>
      </c>
      <c r="H61" s="11">
        <v>1590</v>
      </c>
      <c r="I61" s="11">
        <v>0</v>
      </c>
      <c r="J61" s="11">
        <f t="shared" si="2"/>
        <v>1590</v>
      </c>
      <c r="K61" s="8" t="s">
        <v>18</v>
      </c>
      <c r="L61" t="str">
        <f t="shared" si="1"/>
        <v>Revisar atraso</v>
      </c>
      <c r="M61" s="28"/>
    </row>
    <row r="62" spans="1:13" ht="22" customHeight="1">
      <c r="A62" s="7" t="s">
        <v>120</v>
      </c>
      <c r="B62" s="9">
        <v>46259</v>
      </c>
      <c r="C62" s="7" t="s">
        <v>14</v>
      </c>
      <c r="D62" s="7" t="s">
        <v>15</v>
      </c>
      <c r="E62" s="7" t="s">
        <v>16</v>
      </c>
      <c r="F62" s="7" t="s">
        <v>79</v>
      </c>
      <c r="G62" s="10">
        <v>4</v>
      </c>
      <c r="H62" s="11">
        <v>1690</v>
      </c>
      <c r="I62" s="11">
        <v>2500</v>
      </c>
      <c r="J62" s="11">
        <f t="shared" si="2"/>
        <v>11690</v>
      </c>
      <c r="K62" s="8" t="s">
        <v>40</v>
      </c>
      <c r="L62" t="str">
        <f t="shared" si="1"/>
        <v>Sin alerta</v>
      </c>
      <c r="M62" s="28"/>
    </row>
    <row r="63" spans="1:13" ht="22" customHeight="1">
      <c r="A63" s="7" t="s">
        <v>121</v>
      </c>
      <c r="B63" s="9">
        <v>46262</v>
      </c>
      <c r="C63" s="7" t="s">
        <v>20</v>
      </c>
      <c r="D63" s="7" t="s">
        <v>21</v>
      </c>
      <c r="E63" s="7" t="s">
        <v>44</v>
      </c>
      <c r="F63" s="7" t="s">
        <v>56</v>
      </c>
      <c r="G63" s="10">
        <v>7</v>
      </c>
      <c r="H63" s="11">
        <v>2190</v>
      </c>
      <c r="I63" s="11">
        <v>3000</v>
      </c>
      <c r="J63" s="11">
        <f t="shared" si="2"/>
        <v>23190</v>
      </c>
      <c r="K63" s="8" t="s">
        <v>40</v>
      </c>
      <c r="L63" t="str">
        <f t="shared" si="1"/>
        <v>Sin alerta</v>
      </c>
      <c r="M63" s="28"/>
    </row>
    <row r="64" spans="1:13" ht="22" customHeight="1">
      <c r="A64" s="7" t="s">
        <v>122</v>
      </c>
      <c r="B64" s="9">
        <v>46265</v>
      </c>
      <c r="C64" s="7" t="s">
        <v>25</v>
      </c>
      <c r="D64" s="7" t="s">
        <v>26</v>
      </c>
      <c r="E64" s="7" t="s">
        <v>58</v>
      </c>
      <c r="F64" s="7" t="s">
        <v>82</v>
      </c>
      <c r="G64" s="10">
        <v>2</v>
      </c>
      <c r="H64" s="11">
        <v>2490</v>
      </c>
      <c r="I64" s="11">
        <v>2000</v>
      </c>
      <c r="J64" s="11">
        <f t="shared" si="2"/>
        <v>6490</v>
      </c>
      <c r="K64" s="8" t="s">
        <v>40</v>
      </c>
      <c r="L64" t="str">
        <f t="shared" si="1"/>
        <v>Sin alerta</v>
      </c>
      <c r="M64" s="28"/>
    </row>
    <row r="65" spans="1:13" ht="22" customHeight="1">
      <c r="A65" s="7" t="s">
        <v>123</v>
      </c>
      <c r="B65" s="9">
        <v>46268</v>
      </c>
      <c r="C65" s="7" t="s">
        <v>31</v>
      </c>
      <c r="D65" s="7" t="s">
        <v>32</v>
      </c>
      <c r="E65" s="7" t="s">
        <v>16</v>
      </c>
      <c r="F65" s="7" t="s">
        <v>17</v>
      </c>
      <c r="G65" s="10">
        <v>5</v>
      </c>
      <c r="H65" s="11">
        <v>2090</v>
      </c>
      <c r="I65" s="11">
        <v>0</v>
      </c>
      <c r="J65" s="11">
        <f t="shared" si="2"/>
        <v>2090</v>
      </c>
      <c r="K65" s="8" t="s">
        <v>40</v>
      </c>
      <c r="L65" t="str">
        <f t="shared" si="1"/>
        <v>Sin alerta</v>
      </c>
      <c r="M65" s="28"/>
    </row>
    <row r="66" spans="1:13" ht="22" customHeight="1">
      <c r="A66" s="7" t="s">
        <v>124</v>
      </c>
      <c r="B66" s="9">
        <v>46271</v>
      </c>
      <c r="C66" s="7" t="s">
        <v>36</v>
      </c>
      <c r="D66" s="7" t="s">
        <v>37</v>
      </c>
      <c r="E66" s="7" t="s">
        <v>22</v>
      </c>
      <c r="F66" s="7" t="s">
        <v>63</v>
      </c>
      <c r="G66" s="10">
        <v>1</v>
      </c>
      <c r="H66" s="11">
        <v>690</v>
      </c>
      <c r="I66" s="11">
        <v>1500</v>
      </c>
      <c r="J66" s="11">
        <f t="shared" si="2"/>
        <v>2190</v>
      </c>
      <c r="K66" s="8" t="s">
        <v>29</v>
      </c>
      <c r="L66" t="str">
        <f t="shared" si="1"/>
        <v>Sin alerta</v>
      </c>
      <c r="M66" s="28"/>
    </row>
    <row r="67" spans="1:13" ht="22" customHeight="1">
      <c r="A67" s="7" t="s">
        <v>125</v>
      </c>
      <c r="B67" s="9">
        <v>46274</v>
      </c>
      <c r="C67" s="7" t="s">
        <v>42</v>
      </c>
      <c r="D67" s="7" t="s">
        <v>43</v>
      </c>
      <c r="E67" s="7" t="s">
        <v>27</v>
      </c>
      <c r="F67" s="7" t="s">
        <v>86</v>
      </c>
      <c r="G67" s="10">
        <v>4</v>
      </c>
      <c r="H67" s="11">
        <v>4590</v>
      </c>
      <c r="I67" s="11">
        <v>3000</v>
      </c>
      <c r="J67" s="11">
        <f t="shared" si="2"/>
        <v>16590</v>
      </c>
      <c r="K67" s="8" t="s">
        <v>18</v>
      </c>
      <c r="L67" t="str">
        <f t="shared" si="1"/>
        <v>Revisar atraso</v>
      </c>
      <c r="M67" s="28"/>
    </row>
    <row r="68" spans="1:13" ht="22" customHeight="1">
      <c r="A68" s="7" t="s">
        <v>126</v>
      </c>
      <c r="B68" s="9">
        <v>46277</v>
      </c>
      <c r="C68" s="7" t="s">
        <v>47</v>
      </c>
      <c r="D68" s="7" t="s">
        <v>48</v>
      </c>
      <c r="E68" s="7" t="s">
        <v>33</v>
      </c>
      <c r="F68" s="7" t="s">
        <v>34</v>
      </c>
      <c r="G68" s="10">
        <v>7</v>
      </c>
      <c r="H68" s="11">
        <v>3290</v>
      </c>
      <c r="I68" s="11">
        <v>2000</v>
      </c>
      <c r="J68" s="11">
        <f t="shared" si="2"/>
        <v>17290</v>
      </c>
      <c r="K68" s="8" t="s">
        <v>29</v>
      </c>
      <c r="L68" t="str">
        <f t="shared" si="1"/>
        <v>Sin alerta</v>
      </c>
      <c r="M68" s="28"/>
    </row>
    <row r="69" spans="1:13" ht="22" customHeight="1">
      <c r="A69" s="7" t="s">
        <v>127</v>
      </c>
      <c r="B69" s="9">
        <v>46280</v>
      </c>
      <c r="C69" s="7" t="s">
        <v>52</v>
      </c>
      <c r="D69" s="7" t="s">
        <v>48</v>
      </c>
      <c r="E69" s="7" t="s">
        <v>38</v>
      </c>
      <c r="F69" s="7" t="s">
        <v>69</v>
      </c>
      <c r="G69" s="10">
        <v>2</v>
      </c>
      <c r="H69" s="11">
        <v>2090</v>
      </c>
      <c r="I69" s="11">
        <v>2500</v>
      </c>
      <c r="J69" s="11">
        <f t="shared" si="2"/>
        <v>7090</v>
      </c>
      <c r="K69" s="8" t="s">
        <v>40</v>
      </c>
      <c r="L69" t="str">
        <f t="shared" si="1"/>
        <v>Sin alerta</v>
      </c>
      <c r="M69" s="28"/>
    </row>
    <row r="70" spans="1:13" ht="22" customHeight="1">
      <c r="A70" s="7" t="s">
        <v>128</v>
      </c>
      <c r="B70" s="9">
        <v>46235</v>
      </c>
      <c r="C70" s="7" t="s">
        <v>14</v>
      </c>
      <c r="D70" s="7" t="s">
        <v>55</v>
      </c>
      <c r="E70" s="7" t="s">
        <v>44</v>
      </c>
      <c r="F70" s="7" t="s">
        <v>90</v>
      </c>
      <c r="G70" s="10">
        <v>5</v>
      </c>
      <c r="H70" s="11">
        <v>2590</v>
      </c>
      <c r="I70" s="11">
        <v>1500</v>
      </c>
      <c r="J70" s="11">
        <f t="shared" ref="J70:J85" si="3">(H70+I70*G70)</f>
        <v>10090</v>
      </c>
      <c r="K70" s="8" t="s">
        <v>18</v>
      </c>
      <c r="L70" t="str">
        <f t="shared" si="1"/>
        <v>Revisar atraso</v>
      </c>
      <c r="M70" s="28"/>
    </row>
    <row r="71" spans="1:13" ht="22" customHeight="1">
      <c r="A71" s="7" t="s">
        <v>129</v>
      </c>
      <c r="B71" s="9">
        <v>46238</v>
      </c>
      <c r="C71" s="7" t="s">
        <v>20</v>
      </c>
      <c r="D71" s="7" t="s">
        <v>15</v>
      </c>
      <c r="E71" s="7" t="s">
        <v>49</v>
      </c>
      <c r="F71" s="7" t="s">
        <v>50</v>
      </c>
      <c r="G71" s="10">
        <v>1</v>
      </c>
      <c r="H71" s="11">
        <v>3290</v>
      </c>
      <c r="I71" s="11">
        <v>2000</v>
      </c>
      <c r="J71" s="11">
        <f t="shared" si="3"/>
        <v>5290</v>
      </c>
      <c r="K71" s="8" t="s">
        <v>18</v>
      </c>
      <c r="L71" t="str">
        <f t="shared" ref="L71:L85" si="4">IF(K71="Pendiente","Revisar atraso","Sin alerta")</f>
        <v>Revisar atraso</v>
      </c>
      <c r="M71" s="28"/>
    </row>
    <row r="72" spans="1:13" ht="22" customHeight="1">
      <c r="A72" s="7" t="s">
        <v>130</v>
      </c>
      <c r="B72" s="9">
        <v>46241</v>
      </c>
      <c r="C72" s="7" t="s">
        <v>25</v>
      </c>
      <c r="D72" s="7" t="s">
        <v>21</v>
      </c>
      <c r="E72" s="7" t="s">
        <v>38</v>
      </c>
      <c r="F72" s="7" t="s">
        <v>74</v>
      </c>
      <c r="G72" s="10">
        <v>4</v>
      </c>
      <c r="H72" s="11">
        <v>2790</v>
      </c>
      <c r="I72" s="11">
        <v>0</v>
      </c>
      <c r="J72" s="11">
        <f t="shared" si="3"/>
        <v>2790</v>
      </c>
      <c r="K72" s="8" t="s">
        <v>29</v>
      </c>
      <c r="L72" t="str">
        <f t="shared" si="4"/>
        <v>Sin alerta</v>
      </c>
      <c r="M72" s="28"/>
    </row>
    <row r="73" spans="1:13" ht="22" customHeight="1">
      <c r="A73" s="7" t="s">
        <v>131</v>
      </c>
      <c r="B73" s="9">
        <v>46244</v>
      </c>
      <c r="C73" s="7" t="s">
        <v>31</v>
      </c>
      <c r="D73" s="7" t="s">
        <v>26</v>
      </c>
      <c r="E73" s="7" t="s">
        <v>44</v>
      </c>
      <c r="F73" s="7" t="s">
        <v>94</v>
      </c>
      <c r="G73" s="10">
        <v>7</v>
      </c>
      <c r="H73" s="11">
        <v>1390</v>
      </c>
      <c r="I73" s="11">
        <v>2500</v>
      </c>
      <c r="J73" s="11">
        <f t="shared" si="3"/>
        <v>18890</v>
      </c>
      <c r="K73" s="8" t="s">
        <v>29</v>
      </c>
      <c r="L73" t="str">
        <f t="shared" si="4"/>
        <v>Sin alerta</v>
      </c>
      <c r="M73" s="28"/>
    </row>
    <row r="74" spans="1:13" ht="22" customHeight="1">
      <c r="A74" s="7" t="s">
        <v>132</v>
      </c>
      <c r="B74" s="9">
        <v>46247</v>
      </c>
      <c r="C74" s="7" t="s">
        <v>36</v>
      </c>
      <c r="D74" s="7" t="s">
        <v>32</v>
      </c>
      <c r="E74" s="7" t="s">
        <v>58</v>
      </c>
      <c r="F74" s="7" t="s">
        <v>59</v>
      </c>
      <c r="G74" s="10">
        <v>2</v>
      </c>
      <c r="H74" s="11">
        <v>2090</v>
      </c>
      <c r="I74" s="11">
        <v>3000</v>
      </c>
      <c r="J74" s="11">
        <f t="shared" si="3"/>
        <v>8090</v>
      </c>
      <c r="K74" s="8" t="s">
        <v>40</v>
      </c>
      <c r="L74" t="str">
        <f t="shared" si="4"/>
        <v>Sin alerta</v>
      </c>
      <c r="M74" s="28"/>
    </row>
    <row r="75" spans="1:13" ht="22" customHeight="1">
      <c r="A75" s="7" t="s">
        <v>133</v>
      </c>
      <c r="B75" s="9">
        <v>46250</v>
      </c>
      <c r="C75" s="7" t="s">
        <v>42</v>
      </c>
      <c r="D75" s="7" t="s">
        <v>37</v>
      </c>
      <c r="E75" s="7" t="s">
        <v>16</v>
      </c>
      <c r="F75" s="7" t="s">
        <v>79</v>
      </c>
      <c r="G75" s="10">
        <v>5</v>
      </c>
      <c r="H75" s="11">
        <v>1790</v>
      </c>
      <c r="I75" s="11">
        <v>2000</v>
      </c>
      <c r="J75" s="11">
        <f t="shared" si="3"/>
        <v>11790</v>
      </c>
      <c r="K75" s="8" t="s">
        <v>40</v>
      </c>
      <c r="L75" t="str">
        <f t="shared" si="4"/>
        <v>Sin alerta</v>
      </c>
      <c r="M75" s="28"/>
    </row>
    <row r="76" spans="1:13" ht="22" customHeight="1">
      <c r="A76" s="7" t="s">
        <v>134</v>
      </c>
      <c r="B76" s="9">
        <v>46253</v>
      </c>
      <c r="C76" s="7" t="s">
        <v>47</v>
      </c>
      <c r="D76" s="7" t="s">
        <v>37</v>
      </c>
      <c r="E76" s="7" t="s">
        <v>22</v>
      </c>
      <c r="F76" s="7" t="s">
        <v>98</v>
      </c>
      <c r="G76" s="10">
        <v>1</v>
      </c>
      <c r="H76" s="11">
        <v>3490</v>
      </c>
      <c r="I76" s="11">
        <v>0</v>
      </c>
      <c r="J76" s="11">
        <f t="shared" si="3"/>
        <v>3490</v>
      </c>
      <c r="K76" s="8" t="s">
        <v>29</v>
      </c>
      <c r="L76" t="str">
        <f t="shared" si="4"/>
        <v>Sin alerta</v>
      </c>
      <c r="M76" s="28"/>
    </row>
    <row r="77" spans="1:13" ht="22" customHeight="1">
      <c r="A77" s="7" t="s">
        <v>135</v>
      </c>
      <c r="B77" s="9">
        <v>46256</v>
      </c>
      <c r="C77" s="7" t="s">
        <v>52</v>
      </c>
      <c r="D77" s="7" t="s">
        <v>43</v>
      </c>
      <c r="E77" s="7" t="s">
        <v>58</v>
      </c>
      <c r="F77" s="7" t="s">
        <v>65</v>
      </c>
      <c r="G77" s="10">
        <v>4</v>
      </c>
      <c r="H77" s="11">
        <v>1090</v>
      </c>
      <c r="I77" s="11">
        <v>1500</v>
      </c>
      <c r="J77" s="11">
        <f t="shared" si="3"/>
        <v>7090</v>
      </c>
      <c r="K77" s="8" t="s">
        <v>18</v>
      </c>
      <c r="L77" t="str">
        <f t="shared" si="4"/>
        <v>Revisar atraso</v>
      </c>
      <c r="M77" s="28"/>
    </row>
    <row r="78" spans="1:13" ht="22" customHeight="1">
      <c r="A78" s="7" t="s">
        <v>136</v>
      </c>
      <c r="B78" s="9">
        <v>46259</v>
      </c>
      <c r="C78" s="7" t="s">
        <v>14</v>
      </c>
      <c r="D78" s="7" t="s">
        <v>48</v>
      </c>
      <c r="E78" s="7" t="s">
        <v>16</v>
      </c>
      <c r="F78" s="7" t="s">
        <v>17</v>
      </c>
      <c r="G78" s="10">
        <v>7</v>
      </c>
      <c r="H78" s="11">
        <v>1890</v>
      </c>
      <c r="I78" s="11">
        <v>3000</v>
      </c>
      <c r="J78" s="11">
        <f t="shared" si="3"/>
        <v>22890</v>
      </c>
      <c r="K78" s="8" t="s">
        <v>40</v>
      </c>
      <c r="L78" t="str">
        <f t="shared" si="4"/>
        <v>Sin alerta</v>
      </c>
      <c r="M78" s="28"/>
    </row>
    <row r="79" spans="1:13" ht="22" customHeight="1">
      <c r="A79" s="7" t="s">
        <v>137</v>
      </c>
      <c r="B79" s="9">
        <v>46262</v>
      </c>
      <c r="C79" s="7" t="s">
        <v>20</v>
      </c>
      <c r="D79" s="7" t="s">
        <v>55</v>
      </c>
      <c r="E79" s="7" t="s">
        <v>22</v>
      </c>
      <c r="F79" s="7" t="s">
        <v>23</v>
      </c>
      <c r="G79" s="10">
        <v>2</v>
      </c>
      <c r="H79" s="11">
        <v>1190</v>
      </c>
      <c r="I79" s="11">
        <v>0</v>
      </c>
      <c r="J79" s="11">
        <f t="shared" si="3"/>
        <v>1190</v>
      </c>
      <c r="K79" s="8" t="s">
        <v>40</v>
      </c>
      <c r="L79" t="str">
        <f t="shared" si="4"/>
        <v>Sin alerta</v>
      </c>
      <c r="M79" s="28"/>
    </row>
    <row r="80" spans="1:13" ht="22" customHeight="1">
      <c r="A80" s="7" t="s">
        <v>138</v>
      </c>
      <c r="B80" s="9">
        <v>46265</v>
      </c>
      <c r="C80" s="7" t="s">
        <v>25</v>
      </c>
      <c r="D80" s="7" t="s">
        <v>15</v>
      </c>
      <c r="E80" s="7" t="s">
        <v>27</v>
      </c>
      <c r="F80" s="7" t="s">
        <v>28</v>
      </c>
      <c r="G80" s="10">
        <v>5</v>
      </c>
      <c r="H80" s="11">
        <v>2990</v>
      </c>
      <c r="I80" s="11">
        <v>2500</v>
      </c>
      <c r="J80" s="11">
        <f t="shared" si="3"/>
        <v>15490</v>
      </c>
      <c r="K80" s="8" t="s">
        <v>40</v>
      </c>
      <c r="L80" t="str">
        <f t="shared" si="4"/>
        <v>Sin alerta</v>
      </c>
      <c r="M80" s="28"/>
    </row>
    <row r="81" spans="1:13" ht="22" customHeight="1">
      <c r="A81" s="7" t="s">
        <v>139</v>
      </c>
      <c r="B81" s="9">
        <v>46268</v>
      </c>
      <c r="C81" s="7" t="s">
        <v>31</v>
      </c>
      <c r="D81" s="7" t="s">
        <v>21</v>
      </c>
      <c r="E81" s="7" t="s">
        <v>33</v>
      </c>
      <c r="F81" s="7" t="s">
        <v>34</v>
      </c>
      <c r="G81" s="10">
        <v>1</v>
      </c>
      <c r="H81" s="11">
        <v>3390</v>
      </c>
      <c r="I81" s="11">
        <v>1500</v>
      </c>
      <c r="J81" s="11">
        <f t="shared" si="3"/>
        <v>4890</v>
      </c>
      <c r="K81" s="8" t="s">
        <v>40</v>
      </c>
      <c r="L81" t="str">
        <f t="shared" si="4"/>
        <v>Sin alerta</v>
      </c>
      <c r="M81" s="28"/>
    </row>
    <row r="82" spans="1:13" ht="22" customHeight="1">
      <c r="A82" s="7" t="s">
        <v>140</v>
      </c>
      <c r="B82" s="9">
        <v>46271</v>
      </c>
      <c r="C82" s="7" t="s">
        <v>36</v>
      </c>
      <c r="D82" s="7" t="s">
        <v>26</v>
      </c>
      <c r="E82" s="7" t="s">
        <v>38</v>
      </c>
      <c r="F82" s="7" t="s">
        <v>39</v>
      </c>
      <c r="G82" s="10">
        <v>4</v>
      </c>
      <c r="H82" s="11">
        <v>3090</v>
      </c>
      <c r="I82" s="11">
        <v>2000</v>
      </c>
      <c r="J82" s="11">
        <f t="shared" si="3"/>
        <v>11090</v>
      </c>
      <c r="K82" s="8" t="s">
        <v>29</v>
      </c>
      <c r="L82" t="str">
        <f t="shared" si="4"/>
        <v>Sin alerta</v>
      </c>
      <c r="M82" s="28"/>
    </row>
    <row r="83" spans="1:13" ht="22" customHeight="1">
      <c r="A83" s="7" t="s">
        <v>141</v>
      </c>
      <c r="B83" s="9">
        <v>46274</v>
      </c>
      <c r="C83" s="7" t="s">
        <v>42</v>
      </c>
      <c r="D83" s="7" t="s">
        <v>26</v>
      </c>
      <c r="E83" s="7" t="s">
        <v>44</v>
      </c>
      <c r="F83" s="7" t="s">
        <v>45</v>
      </c>
      <c r="G83" s="10">
        <v>7</v>
      </c>
      <c r="H83" s="11">
        <v>2490</v>
      </c>
      <c r="I83" s="11">
        <v>0</v>
      </c>
      <c r="J83" s="11">
        <f t="shared" si="3"/>
        <v>2490</v>
      </c>
      <c r="K83" s="8" t="s">
        <v>18</v>
      </c>
      <c r="L83" t="str">
        <f t="shared" si="4"/>
        <v>Revisar atraso</v>
      </c>
      <c r="M83" s="28"/>
    </row>
    <row r="84" spans="1:13" ht="22" customHeight="1">
      <c r="A84" s="7" t="s">
        <v>142</v>
      </c>
      <c r="B84" s="9">
        <v>46277</v>
      </c>
      <c r="C84" s="7" t="s">
        <v>47</v>
      </c>
      <c r="D84" s="7" t="s">
        <v>32</v>
      </c>
      <c r="E84" s="7" t="s">
        <v>49</v>
      </c>
      <c r="F84" s="7" t="s">
        <v>50</v>
      </c>
      <c r="G84" s="10">
        <v>2</v>
      </c>
      <c r="H84" s="11">
        <v>3390</v>
      </c>
      <c r="I84" s="11">
        <v>2500</v>
      </c>
      <c r="J84" s="11">
        <f t="shared" si="3"/>
        <v>8390</v>
      </c>
      <c r="K84" s="8" t="s">
        <v>29</v>
      </c>
      <c r="L84" t="str">
        <f t="shared" si="4"/>
        <v>Sin alerta</v>
      </c>
      <c r="M84" s="28"/>
    </row>
    <row r="85" spans="1:13" ht="22" customHeight="1">
      <c r="A85" s="7" t="s">
        <v>143</v>
      </c>
      <c r="B85" s="9">
        <v>46280</v>
      </c>
      <c r="C85" s="7" t="s">
        <v>52</v>
      </c>
      <c r="D85" s="7" t="s">
        <v>37</v>
      </c>
      <c r="E85" s="7" t="s">
        <v>16</v>
      </c>
      <c r="F85" s="7" t="s">
        <v>53</v>
      </c>
      <c r="G85" s="10">
        <v>5</v>
      </c>
      <c r="H85" s="11">
        <v>4890</v>
      </c>
      <c r="I85" s="11">
        <v>3000</v>
      </c>
      <c r="J85" s="11">
        <f t="shared" si="3"/>
        <v>19890</v>
      </c>
      <c r="K85" s="8" t="s">
        <v>40</v>
      </c>
      <c r="L85" t="str">
        <f t="shared" si="4"/>
        <v>Sin alerta</v>
      </c>
      <c r="M85" s="28"/>
    </row>
    <row r="88" spans="1:13">
      <c r="J88" s="26">
        <f>SUM(J6:J85)</f>
        <v>768500</v>
      </c>
    </row>
    <row r="89" spans="1:13">
      <c r="F89">
        <f>SUMIF(E6:E85,"Lácteos",J6:J85)</f>
        <v>67210</v>
      </c>
      <c r="J89">
        <f>COUNTIF(K6:K85,"Listo")</f>
        <v>35</v>
      </c>
    </row>
    <row r="90" spans="1:13">
      <c r="F90">
        <f>SUMIF(E6:E85,"Snacks",J6:J85)</f>
        <v>54530</v>
      </c>
      <c r="J90">
        <f>COUNTIF(K6:K85,"pendiente")</f>
        <v>20</v>
      </c>
    </row>
    <row r="91" spans="1:13">
      <c r="F91">
        <f>COUNTIF(E6:E85,"Abarrotes")</f>
        <v>13</v>
      </c>
      <c r="J91">
        <f>COUNTIF(K6:K85,"En proceso")</f>
        <v>25</v>
      </c>
    </row>
  </sheetData>
  <conditionalFormatting sqref="K6:K85">
    <cfRule type="containsText" dxfId="3" priority="1" operator="containsText" text="Pendiente"/>
    <cfRule type="containsText" dxfId="2" priority="2" operator="containsText" text="En proceso"/>
    <cfRule type="containsText" dxfId="1" priority="3" operator="containsText" text="Listo"/>
  </conditionalFormatting>
  <conditionalFormatting sqref="L6:L85">
    <cfRule type="expression" dxfId="0" priority="4">
      <formula>L6="Revisar atraso"</formula>
    </cfRule>
  </conditionalFormatting>
  <dataValidations count="1">
    <dataValidation type="list" sqref="K6:K85" xr:uid="{00000000-0002-0000-0000-000000000000}">
      <formula1>"Pendiente,En proceso,Listo"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workbookViewId="0"/>
  </sheetViews>
  <sheetFormatPr baseColWidth="10" defaultRowHeight="14"/>
  <sheetData>
    <row r="1" spans="1:4">
      <c r="A1" s="25" t="s">
        <v>144</v>
      </c>
      <c r="B1" s="25" t="s">
        <v>145</v>
      </c>
      <c r="C1" s="25" t="s">
        <v>146</v>
      </c>
      <c r="D1" s="25" t="s">
        <v>147</v>
      </c>
    </row>
    <row r="2" spans="1:4">
      <c r="A2" t="s">
        <v>148</v>
      </c>
      <c r="B2">
        <v>500</v>
      </c>
      <c r="C2" t="s">
        <v>149</v>
      </c>
      <c r="D2">
        <f>(B2+B3+B4)</f>
        <v>3300</v>
      </c>
    </row>
    <row r="3" spans="1:4">
      <c r="A3" t="s">
        <v>150</v>
      </c>
      <c r="B3">
        <v>800</v>
      </c>
      <c r="C3" t="s">
        <v>18</v>
      </c>
      <c r="D3">
        <f>(B9-B4)</f>
        <v>6000</v>
      </c>
    </row>
    <row r="4" spans="1:4">
      <c r="A4" t="s">
        <v>151</v>
      </c>
      <c r="B4">
        <v>2000</v>
      </c>
      <c r="C4" t="s">
        <v>18</v>
      </c>
      <c r="D4">
        <f>(B8*B2)</f>
        <v>3500000</v>
      </c>
    </row>
    <row r="5" spans="1:4">
      <c r="A5" t="s">
        <v>152</v>
      </c>
      <c r="B5">
        <v>3500</v>
      </c>
      <c r="C5" t="s">
        <v>149</v>
      </c>
      <c r="D5">
        <f>(B9/B2)</f>
        <v>16</v>
      </c>
    </row>
    <row r="6" spans="1:4">
      <c r="A6" t="s">
        <v>153</v>
      </c>
      <c r="B6">
        <v>4000</v>
      </c>
      <c r="C6" t="s">
        <v>18</v>
      </c>
      <c r="D6" t="s">
        <v>154</v>
      </c>
    </row>
    <row r="7" spans="1:4">
      <c r="A7" t="s">
        <v>155</v>
      </c>
      <c r="B7">
        <v>6000</v>
      </c>
      <c r="C7" t="s">
        <v>149</v>
      </c>
      <c r="D7">
        <f>SUM(B2:B9)</f>
        <v>31800</v>
      </c>
    </row>
    <row r="8" spans="1:4">
      <c r="A8" t="s">
        <v>156</v>
      </c>
      <c r="B8">
        <v>7000</v>
      </c>
      <c r="C8" t="s">
        <v>18</v>
      </c>
      <c r="D8">
        <f>AVERAGE(B2:B9)</f>
        <v>3975</v>
      </c>
    </row>
    <row r="9" spans="1:4">
      <c r="A9" t="s">
        <v>157</v>
      </c>
      <c r="B9">
        <v>8000</v>
      </c>
      <c r="C9" t="s">
        <v>149</v>
      </c>
      <c r="D9">
        <f>MIN(B2:B9)</f>
        <v>500</v>
      </c>
    </row>
    <row r="10" spans="1:4">
      <c r="D10">
        <f>MAX(B2:B9)</f>
        <v>8000</v>
      </c>
    </row>
    <row r="11" spans="1:4">
      <c r="B11">
        <f>COUNTIF(B2:B9,"&lt;8000")</f>
        <v>7</v>
      </c>
      <c r="D11">
        <f>COUNT(D2:D10)</f>
        <v>8</v>
      </c>
    </row>
    <row r="12" spans="1:4">
      <c r="D12">
        <f>COUNTA(D1:D11)</f>
        <v>11</v>
      </c>
    </row>
    <row r="13" spans="1:4">
      <c r="B13">
        <f>SUMIF(B2:B9,"&lt;8000")</f>
        <v>23800</v>
      </c>
      <c r="D13">
        <f>COUNTIF(C2:C9,"Pendiente")</f>
        <v>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81C784"/>
  </sheetPr>
  <dimension ref="A2:E19"/>
  <sheetViews>
    <sheetView showGridLines="0" workbookViewId="0">
      <pane ySplit="5" topLeftCell="A6" activePane="bottomLeft" state="frozen"/>
      <selection pane="bottomLeft"/>
    </sheetView>
  </sheetViews>
  <sheetFormatPr baseColWidth="10" defaultColWidth="8.6640625" defaultRowHeight="14"/>
  <cols>
    <col min="1" max="1" width="7" customWidth="1"/>
    <col min="2" max="2" width="14" customWidth="1"/>
    <col min="3" max="3" width="52" customWidth="1"/>
    <col min="4" max="4" width="25" customWidth="1"/>
    <col min="5" max="5" width="37" customWidth="1"/>
  </cols>
  <sheetData>
    <row r="2" spans="1:5" ht="25" customHeight="1">
      <c r="A2" s="2" t="s">
        <v>158</v>
      </c>
      <c r="B2" s="1"/>
      <c r="C2" s="1"/>
      <c r="D2" s="1"/>
      <c r="E2" s="1"/>
    </row>
    <row r="3" spans="1:5">
      <c r="A3" s="3" t="s">
        <v>159</v>
      </c>
      <c r="B3" s="3"/>
      <c r="C3" s="3"/>
      <c r="D3" s="3"/>
      <c r="E3" s="3"/>
    </row>
    <row r="5" spans="1:5" ht="28" customHeight="1">
      <c r="A5" s="6" t="s">
        <v>160</v>
      </c>
      <c r="B5" s="6" t="s">
        <v>161</v>
      </c>
      <c r="C5" s="6" t="s">
        <v>162</v>
      </c>
      <c r="D5" s="6" t="s">
        <v>163</v>
      </c>
      <c r="E5" s="6" t="s">
        <v>164</v>
      </c>
    </row>
    <row r="6" spans="1:5" ht="42" customHeight="1">
      <c r="A6" s="13">
        <v>1</v>
      </c>
      <c r="B6" s="14" t="s">
        <v>165</v>
      </c>
      <c r="C6" s="15" t="s">
        <v>166</v>
      </c>
      <c r="D6" s="12"/>
      <c r="E6" s="22" t="s">
        <v>167</v>
      </c>
    </row>
    <row r="7" spans="1:5" ht="42" customHeight="1">
      <c r="A7" s="16">
        <v>2</v>
      </c>
      <c r="B7" s="17" t="s">
        <v>165</v>
      </c>
      <c r="C7" s="18" t="s">
        <v>168</v>
      </c>
      <c r="D7" s="12"/>
      <c r="E7" s="23" t="s">
        <v>169</v>
      </c>
    </row>
    <row r="8" spans="1:5" ht="42" customHeight="1">
      <c r="A8" s="16">
        <v>3</v>
      </c>
      <c r="B8" s="17" t="s">
        <v>165</v>
      </c>
      <c r="C8" s="18" t="s">
        <v>170</v>
      </c>
      <c r="D8" s="12"/>
      <c r="E8" s="23" t="s">
        <v>171</v>
      </c>
    </row>
    <row r="9" spans="1:5" ht="42" customHeight="1">
      <c r="A9" s="16">
        <v>4</v>
      </c>
      <c r="B9" s="17" t="s">
        <v>165</v>
      </c>
      <c r="C9" s="18" t="s">
        <v>172</v>
      </c>
      <c r="D9" s="12"/>
      <c r="E9" s="23" t="s">
        <v>173</v>
      </c>
    </row>
    <row r="10" spans="1:5" ht="42" customHeight="1">
      <c r="A10" s="16">
        <v>5</v>
      </c>
      <c r="B10" s="17" t="s">
        <v>165</v>
      </c>
      <c r="C10" s="18" t="s">
        <v>174</v>
      </c>
      <c r="D10" s="12"/>
      <c r="E10" s="23" t="s">
        <v>175</v>
      </c>
    </row>
    <row r="11" spans="1:5" ht="42" customHeight="1">
      <c r="A11" s="16">
        <v>6</v>
      </c>
      <c r="B11" s="17" t="s">
        <v>165</v>
      </c>
      <c r="C11" s="18" t="s">
        <v>176</v>
      </c>
      <c r="D11" s="12"/>
      <c r="E11" s="23" t="s">
        <v>177</v>
      </c>
    </row>
    <row r="12" spans="1:5" ht="42" customHeight="1">
      <c r="A12" s="16">
        <v>7</v>
      </c>
      <c r="B12" s="17" t="s">
        <v>165</v>
      </c>
      <c r="C12" s="18" t="s">
        <v>178</v>
      </c>
      <c r="D12" s="12"/>
      <c r="E12" s="23" t="s">
        <v>179</v>
      </c>
    </row>
    <row r="13" spans="1:5" ht="42" customHeight="1">
      <c r="A13" s="16">
        <v>8</v>
      </c>
      <c r="B13" s="17" t="s">
        <v>180</v>
      </c>
      <c r="C13" s="18" t="s">
        <v>181</v>
      </c>
      <c r="D13" s="12"/>
      <c r="E13" s="23" t="s">
        <v>169</v>
      </c>
    </row>
    <row r="14" spans="1:5" ht="42" customHeight="1">
      <c r="A14" s="16">
        <v>9</v>
      </c>
      <c r="B14" s="17" t="s">
        <v>180</v>
      </c>
      <c r="C14" s="18" t="s">
        <v>182</v>
      </c>
      <c r="D14" s="12"/>
      <c r="E14" s="23" t="s">
        <v>183</v>
      </c>
    </row>
    <row r="15" spans="1:5" ht="42" customHeight="1">
      <c r="A15" s="16">
        <v>10</v>
      </c>
      <c r="B15" s="17" t="s">
        <v>180</v>
      </c>
      <c r="C15" s="18" t="s">
        <v>184</v>
      </c>
      <c r="D15" s="12"/>
      <c r="E15" s="23" t="s">
        <v>185</v>
      </c>
    </row>
    <row r="16" spans="1:5" ht="42" customHeight="1">
      <c r="A16" s="16">
        <v>11</v>
      </c>
      <c r="B16" s="17" t="s">
        <v>180</v>
      </c>
      <c r="C16" s="18" t="s">
        <v>186</v>
      </c>
      <c r="D16" s="12"/>
      <c r="E16" s="23" t="s">
        <v>187</v>
      </c>
    </row>
    <row r="17" spans="1:5" ht="42" customHeight="1">
      <c r="A17" s="16">
        <v>12</v>
      </c>
      <c r="B17" s="17" t="s">
        <v>180</v>
      </c>
      <c r="C17" s="18" t="s">
        <v>188</v>
      </c>
      <c r="D17" s="12"/>
      <c r="E17" s="23" t="s">
        <v>189</v>
      </c>
    </row>
    <row r="18" spans="1:5" ht="42" customHeight="1">
      <c r="A18" s="16">
        <v>13</v>
      </c>
      <c r="B18" s="17" t="s">
        <v>180</v>
      </c>
      <c r="C18" s="18" t="s">
        <v>190</v>
      </c>
      <c r="D18" s="12"/>
      <c r="E18" s="23" t="s">
        <v>191</v>
      </c>
    </row>
    <row r="19" spans="1:5" ht="42" customHeight="1">
      <c r="A19" s="19">
        <v>14</v>
      </c>
      <c r="B19" s="20" t="s">
        <v>192</v>
      </c>
      <c r="C19" s="21" t="s">
        <v>193</v>
      </c>
      <c r="D19" s="12"/>
      <c r="E19" s="24" t="s">
        <v>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Pedidos</vt:lpstr>
      <vt:lpstr>Hoja1</vt:lpstr>
      <vt:lpstr>Actividades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Bárbara Arados</cp:lastModifiedBy>
  <dcterms:modified xsi:type="dcterms:W3CDTF">2026-10-16T02:19:53Z</dcterms:modified>
</cp:coreProperties>
</file>