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6c3b4b9bcb346b/Escritorio/CFT 2026/Tecnología de la Información CFT/"/>
    </mc:Choice>
  </mc:AlternateContent>
  <xr:revisionPtr revIDLastSave="5" documentId="8_{A64CE995-9A7F-4DA9-BFAD-BA0882A735DB}" xr6:coauthVersionLast="47" xr6:coauthVersionMax="47" xr10:uidLastSave="{337A1FB8-086A-4A0C-87E7-A1DEF346640E}"/>
  <bookViews>
    <workbookView minimized="1" xWindow="11770" yWindow="2810" windowWidth="7430" windowHeight="7270" xr2:uid="{C0BB72ED-009F-469F-B00A-32EBFEF434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2" i="1" l="1"/>
  <c r="M6" i="1"/>
  <c r="L6" i="1"/>
  <c r="J6" i="1"/>
</calcChain>
</file>

<file path=xl/sharedStrings.xml><?xml version="1.0" encoding="utf-8"?>
<sst xmlns="http://schemas.openxmlformats.org/spreadsheetml/2006/main" count="213" uniqueCount="98">
  <si>
    <t>Base de datos de pedidos de alimentos</t>
  </si>
  <si>
    <t>Datos completamente ficticios para actividades de Excel. Montos expresados en pesos chilenos (CLP).</t>
  </si>
  <si>
    <t>ID pedido</t>
  </si>
  <si>
    <t>Fecha</t>
  </si>
  <si>
    <t>Tienda</t>
  </si>
  <si>
    <t>Comuna</t>
  </si>
  <si>
    <t>Categoría</t>
  </si>
  <si>
    <t>Alimento</t>
  </si>
  <si>
    <t>Cantidad</t>
  </si>
  <si>
    <t>Precio unitario</t>
  </si>
  <si>
    <t>Costo de despacho</t>
  </si>
  <si>
    <t>Total del pedido</t>
  </si>
  <si>
    <t>Estado de despacho</t>
  </si>
  <si>
    <t>PED-001</t>
  </si>
  <si>
    <t>Frutería Valle Verde</t>
  </si>
  <si>
    <t>Independencia</t>
  </si>
  <si>
    <t>Frutas y verduras</t>
  </si>
  <si>
    <t>Manzanas rojas (kg)</t>
  </si>
  <si>
    <t>Pendiente</t>
  </si>
  <si>
    <t>PED-002</t>
  </si>
  <si>
    <t>Distribuidora Campo Fresco</t>
  </si>
  <si>
    <t>Santiago</t>
  </si>
  <si>
    <t>Lácteos</t>
  </si>
  <si>
    <t>Leche descremada 1 L</t>
  </si>
  <si>
    <t>PED-003</t>
  </si>
  <si>
    <t>Supermercado Los Alerces</t>
  </si>
  <si>
    <t>Colina</t>
  </si>
  <si>
    <t>Congelados</t>
  </si>
  <si>
    <t>Verduras congeladas 500 g</t>
  </si>
  <si>
    <t>En proceso</t>
  </si>
  <si>
    <t>PED-004</t>
  </si>
  <si>
    <t>Almacén Buen Día</t>
  </si>
  <si>
    <t>La Florida</t>
  </si>
  <si>
    <t>Carnes y proteínas</t>
  </si>
  <si>
    <t>Huevos (docena)</t>
  </si>
  <si>
    <t>PED-005</t>
  </si>
  <si>
    <t>Minimarket Plaza Norte</t>
  </si>
  <si>
    <t>Quilicura</t>
  </si>
  <si>
    <t>Panadería</t>
  </si>
  <si>
    <t>Hallullas (kg)</t>
  </si>
  <si>
    <t>Listo</t>
  </si>
  <si>
    <t>PED-006</t>
  </si>
  <si>
    <t>Panadería El Trigal</t>
  </si>
  <si>
    <t>Providencia</t>
  </si>
  <si>
    <t>Abarrotes</t>
  </si>
  <si>
    <t>Lentejas 1 kg</t>
  </si>
  <si>
    <t>PED-007</t>
  </si>
  <si>
    <t>Mercado La Estación</t>
  </si>
  <si>
    <t>Maipú</t>
  </si>
  <si>
    <t>Snacks</t>
  </si>
  <si>
    <t>Frutos secos 200 g</t>
  </si>
  <si>
    <t>PED-008</t>
  </si>
  <si>
    <t>Emporio Santa Clara</t>
  </si>
  <si>
    <t>Paltas (kg)</t>
  </si>
  <si>
    <t>PED-009</t>
  </si>
  <si>
    <t>Ñuñoa</t>
  </si>
  <si>
    <t>Arroz 1 kg</t>
  </si>
  <si>
    <t>PED-010</t>
  </si>
  <si>
    <t>Bebidas sin alcohol</t>
  </si>
  <si>
    <t>Té helado 1,5 L</t>
  </si>
  <si>
    <t>PED-011</t>
  </si>
  <si>
    <t>Plátanos (kg)</t>
  </si>
  <si>
    <t>PED-012</t>
  </si>
  <si>
    <t>Yogur natural</t>
  </si>
  <si>
    <t>PED-013</t>
  </si>
  <si>
    <t>Agua mineral 1,5 L</t>
  </si>
  <si>
    <t>PED-014</t>
  </si>
  <si>
    <t>Atún en conserva</t>
  </si>
  <si>
    <t>PED-015</t>
  </si>
  <si>
    <t>Tortillas de trigo</t>
  </si>
  <si>
    <t>PED-016</t>
  </si>
  <si>
    <t>PED-017</t>
  </si>
  <si>
    <t>Pechuga de pollo (kg)</t>
  </si>
  <si>
    <t>PED-018</t>
  </si>
  <si>
    <t>Pan integral</t>
  </si>
  <si>
    <t>PED-019</t>
  </si>
  <si>
    <t>PED-020</t>
  </si>
  <si>
    <t>Galletas de avena</t>
  </si>
  <si>
    <t>PED-021</t>
  </si>
  <si>
    <t>Tomates (kg)</t>
  </si>
  <si>
    <t>PED-022</t>
  </si>
  <si>
    <t>PED-023</t>
  </si>
  <si>
    <t>Jugo de naranja 1 L</t>
  </si>
  <si>
    <t>PED-024</t>
  </si>
  <si>
    <t>PED-025</t>
  </si>
  <si>
    <t>PED-026</t>
  </si>
  <si>
    <t>Hamburguesas vegetales</t>
  </si>
  <si>
    <t>PED-027</t>
  </si>
  <si>
    <t>PED-028</t>
  </si>
  <si>
    <t>PED-029</t>
  </si>
  <si>
    <t>Aceite vegetal 1 L</t>
  </si>
  <si>
    <t>PED-030</t>
  </si>
  <si>
    <t>PED-031</t>
  </si>
  <si>
    <t>PED-032</t>
  </si>
  <si>
    <t>Fideos 400 g</t>
  </si>
  <si>
    <t>PED-033</t>
  </si>
  <si>
    <t>Estado de atención</t>
  </si>
  <si>
    <t>Días de retraso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</si>
</sst>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5"/>
      <color rgb="FF1B5E20"/>
      <name val="Arial"/>
    </font>
    <font>
      <sz val="10"/>
      <color rgb="FF222222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E7D3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176B2C"/>
      </font>
      <fill>
        <patternFill patternType="solid">
          <bgColor rgb="FFE4F4E8"/>
        </patternFill>
      </fill>
    </dxf>
    <dxf>
      <font>
        <b/>
        <color rgb="FF7A5600"/>
      </font>
      <fill>
        <patternFill patternType="solid">
          <bgColor rgb="FFFFF4CC"/>
        </patternFill>
      </fill>
    </dxf>
    <dxf>
      <font>
        <b/>
        <color rgb="FFA61B1B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4CB9-95AE-49F2-AD49-1D928C734DDB}">
  <dimension ref="A2:M42"/>
  <sheetViews>
    <sheetView tabSelected="1" topLeftCell="A25" workbookViewId="0">
      <selection activeCell="L41" sqref="L41"/>
    </sheetView>
  </sheetViews>
  <sheetFormatPr baseColWidth="10" defaultRowHeight="14.5" x14ac:dyDescent="0.35"/>
  <sheetData>
    <row r="2" spans="1:13" ht="19.5" thickBot="1" x14ac:dyDescent="0.4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3" x14ac:dyDescent="0.3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ht="26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96</v>
      </c>
      <c r="M5" s="5" t="s">
        <v>97</v>
      </c>
    </row>
    <row r="6" spans="1:13" x14ac:dyDescent="0.35">
      <c r="A6" s="6" t="s">
        <v>13</v>
      </c>
      <c r="B6" s="7">
        <v>46235</v>
      </c>
      <c r="C6" s="6" t="s">
        <v>14</v>
      </c>
      <c r="D6" s="6" t="s">
        <v>15</v>
      </c>
      <c r="E6" s="6" t="s">
        <v>16</v>
      </c>
      <c r="F6" s="6" t="s">
        <v>17</v>
      </c>
      <c r="G6" s="8">
        <v>1</v>
      </c>
      <c r="H6" s="9">
        <v>1890</v>
      </c>
      <c r="I6" s="10">
        <v>2000</v>
      </c>
      <c r="J6" s="10">
        <f t="shared" ref="J6" si="0">(H6+I6*G6)</f>
        <v>3890</v>
      </c>
      <c r="K6" s="11" t="s">
        <v>18</v>
      </c>
      <c r="L6" t="str">
        <f>IF(K6="Pendiente","Alerta","Cumplido")</f>
        <v>Alerta</v>
      </c>
      <c r="M6">
        <f ca="1">TODAY()-B6</f>
        <v>83</v>
      </c>
    </row>
    <row r="7" spans="1:13" x14ac:dyDescent="0.35">
      <c r="A7" s="6" t="s">
        <v>19</v>
      </c>
      <c r="B7" s="7">
        <v>46238</v>
      </c>
      <c r="C7" s="6" t="s">
        <v>20</v>
      </c>
      <c r="D7" s="6" t="s">
        <v>21</v>
      </c>
      <c r="E7" s="6" t="s">
        <v>22</v>
      </c>
      <c r="F7" s="6" t="s">
        <v>23</v>
      </c>
      <c r="G7" s="8">
        <v>4</v>
      </c>
      <c r="H7" s="9">
        <v>1190</v>
      </c>
      <c r="I7" s="10">
        <v>2500</v>
      </c>
      <c r="J7" s="10"/>
      <c r="K7" s="11" t="s">
        <v>18</v>
      </c>
    </row>
    <row r="8" spans="1:13" x14ac:dyDescent="0.35">
      <c r="A8" s="6" t="s">
        <v>24</v>
      </c>
      <c r="B8" s="7">
        <v>46241</v>
      </c>
      <c r="C8" s="6" t="s">
        <v>25</v>
      </c>
      <c r="D8" s="6" t="s">
        <v>26</v>
      </c>
      <c r="E8" s="6" t="s">
        <v>27</v>
      </c>
      <c r="F8" s="6" t="s">
        <v>28</v>
      </c>
      <c r="G8" s="8">
        <v>7</v>
      </c>
      <c r="H8" s="9">
        <v>2990</v>
      </c>
      <c r="I8" s="10">
        <v>1500</v>
      </c>
      <c r="J8" s="10"/>
      <c r="K8" s="11" t="s">
        <v>29</v>
      </c>
    </row>
    <row r="9" spans="1:13" x14ac:dyDescent="0.35">
      <c r="A9" s="6" t="s">
        <v>30</v>
      </c>
      <c r="B9" s="7">
        <v>46244</v>
      </c>
      <c r="C9" s="6" t="s">
        <v>31</v>
      </c>
      <c r="D9" s="6" t="s">
        <v>32</v>
      </c>
      <c r="E9" s="6" t="s">
        <v>33</v>
      </c>
      <c r="F9" s="6" t="s">
        <v>34</v>
      </c>
      <c r="G9" s="8">
        <v>2</v>
      </c>
      <c r="H9" s="9">
        <v>3390</v>
      </c>
      <c r="I9" s="10">
        <v>3000</v>
      </c>
      <c r="J9" s="10"/>
      <c r="K9" s="11" t="s">
        <v>29</v>
      </c>
    </row>
    <row r="10" spans="1:13" x14ac:dyDescent="0.35">
      <c r="A10" s="6" t="s">
        <v>35</v>
      </c>
      <c r="B10" s="7">
        <v>46247</v>
      </c>
      <c r="C10" s="6" t="s">
        <v>36</v>
      </c>
      <c r="D10" s="6" t="s">
        <v>37</v>
      </c>
      <c r="E10" s="6" t="s">
        <v>38</v>
      </c>
      <c r="F10" s="6" t="s">
        <v>39</v>
      </c>
      <c r="G10" s="8">
        <v>5</v>
      </c>
      <c r="H10" s="9">
        <v>3090</v>
      </c>
      <c r="I10" s="10">
        <v>0</v>
      </c>
      <c r="J10" s="10"/>
      <c r="K10" s="11" t="s">
        <v>40</v>
      </c>
    </row>
    <row r="11" spans="1:13" x14ac:dyDescent="0.35">
      <c r="A11" s="6" t="s">
        <v>41</v>
      </c>
      <c r="B11" s="7">
        <v>46250</v>
      </c>
      <c r="C11" s="6" t="s">
        <v>42</v>
      </c>
      <c r="D11" s="6" t="s">
        <v>43</v>
      </c>
      <c r="E11" s="6" t="s">
        <v>44</v>
      </c>
      <c r="F11" s="6" t="s">
        <v>45</v>
      </c>
      <c r="G11" s="8">
        <v>1</v>
      </c>
      <c r="H11" s="9">
        <v>2490</v>
      </c>
      <c r="I11" s="10">
        <v>2500</v>
      </c>
      <c r="J11" s="10"/>
      <c r="K11" s="11" t="s">
        <v>40</v>
      </c>
    </row>
    <row r="12" spans="1:13" x14ac:dyDescent="0.35">
      <c r="A12" s="6" t="s">
        <v>46</v>
      </c>
      <c r="B12" s="7">
        <v>46253</v>
      </c>
      <c r="C12" s="6" t="s">
        <v>47</v>
      </c>
      <c r="D12" s="6" t="s">
        <v>48</v>
      </c>
      <c r="E12" s="6" t="s">
        <v>49</v>
      </c>
      <c r="F12" s="6" t="s">
        <v>50</v>
      </c>
      <c r="G12" s="8">
        <v>4</v>
      </c>
      <c r="H12" s="9">
        <v>3390</v>
      </c>
      <c r="I12" s="10">
        <v>1500</v>
      </c>
      <c r="J12" s="10"/>
      <c r="K12" s="11" t="s">
        <v>29</v>
      </c>
    </row>
    <row r="13" spans="1:13" x14ac:dyDescent="0.35">
      <c r="A13" s="6" t="s">
        <v>51</v>
      </c>
      <c r="B13" s="7">
        <v>46256</v>
      </c>
      <c r="C13" s="6" t="s">
        <v>52</v>
      </c>
      <c r="D13" s="6" t="s">
        <v>48</v>
      </c>
      <c r="E13" s="6" t="s">
        <v>16</v>
      </c>
      <c r="F13" s="6" t="s">
        <v>53</v>
      </c>
      <c r="G13" s="8">
        <v>7</v>
      </c>
      <c r="H13" s="9">
        <v>4890</v>
      </c>
      <c r="I13" s="10">
        <v>2000</v>
      </c>
      <c r="J13" s="10"/>
      <c r="K13" s="11" t="s">
        <v>18</v>
      </c>
    </row>
    <row r="14" spans="1:13" x14ac:dyDescent="0.35">
      <c r="A14" s="6" t="s">
        <v>54</v>
      </c>
      <c r="B14" s="7">
        <v>46259</v>
      </c>
      <c r="C14" s="6" t="s">
        <v>14</v>
      </c>
      <c r="D14" s="6" t="s">
        <v>55</v>
      </c>
      <c r="E14" s="6" t="s">
        <v>44</v>
      </c>
      <c r="F14" s="6" t="s">
        <v>56</v>
      </c>
      <c r="G14" s="8">
        <v>2</v>
      </c>
      <c r="H14" s="9">
        <v>1890</v>
      </c>
      <c r="I14" s="10">
        <v>0</v>
      </c>
      <c r="J14" s="10"/>
      <c r="K14" s="11" t="s">
        <v>40</v>
      </c>
    </row>
    <row r="15" spans="1:13" x14ac:dyDescent="0.35">
      <c r="A15" s="6" t="s">
        <v>57</v>
      </c>
      <c r="B15" s="7">
        <v>46262</v>
      </c>
      <c r="C15" s="6" t="s">
        <v>20</v>
      </c>
      <c r="D15" s="6" t="s">
        <v>15</v>
      </c>
      <c r="E15" s="6" t="s">
        <v>58</v>
      </c>
      <c r="F15" s="6" t="s">
        <v>59</v>
      </c>
      <c r="G15" s="8">
        <v>5</v>
      </c>
      <c r="H15" s="9">
        <v>1990</v>
      </c>
      <c r="I15" s="10">
        <v>1500</v>
      </c>
      <c r="J15" s="10"/>
      <c r="K15" s="11" t="s">
        <v>40</v>
      </c>
    </row>
    <row r="16" spans="1:13" x14ac:dyDescent="0.35">
      <c r="A16" s="6" t="s">
        <v>60</v>
      </c>
      <c r="B16" s="7">
        <v>46265</v>
      </c>
      <c r="C16" s="6" t="s">
        <v>25</v>
      </c>
      <c r="D16" s="6" t="s">
        <v>21</v>
      </c>
      <c r="E16" s="6" t="s">
        <v>16</v>
      </c>
      <c r="F16" s="6" t="s">
        <v>61</v>
      </c>
      <c r="G16" s="8">
        <v>1</v>
      </c>
      <c r="H16" s="9">
        <v>1790</v>
      </c>
      <c r="I16" s="10">
        <v>3000</v>
      </c>
      <c r="J16" s="10"/>
      <c r="K16" s="11" t="s">
        <v>40</v>
      </c>
    </row>
    <row r="17" spans="1:11" x14ac:dyDescent="0.35">
      <c r="A17" s="6" t="s">
        <v>62</v>
      </c>
      <c r="B17" s="7">
        <v>46268</v>
      </c>
      <c r="C17" s="6" t="s">
        <v>31</v>
      </c>
      <c r="D17" s="6" t="s">
        <v>26</v>
      </c>
      <c r="E17" s="6" t="s">
        <v>22</v>
      </c>
      <c r="F17" s="6" t="s">
        <v>63</v>
      </c>
      <c r="G17" s="8">
        <v>4</v>
      </c>
      <c r="H17" s="9">
        <v>890</v>
      </c>
      <c r="I17" s="10">
        <v>2000</v>
      </c>
      <c r="J17" s="10"/>
      <c r="K17" s="11" t="s">
        <v>40</v>
      </c>
    </row>
    <row r="18" spans="1:11" x14ac:dyDescent="0.35">
      <c r="A18" s="6" t="s">
        <v>64</v>
      </c>
      <c r="B18" s="7">
        <v>46271</v>
      </c>
      <c r="C18" s="6" t="s">
        <v>36</v>
      </c>
      <c r="D18" s="6" t="s">
        <v>32</v>
      </c>
      <c r="E18" s="6" t="s">
        <v>58</v>
      </c>
      <c r="F18" s="6" t="s">
        <v>65</v>
      </c>
      <c r="G18" s="8">
        <v>7</v>
      </c>
      <c r="H18" s="9">
        <v>1090</v>
      </c>
      <c r="I18" s="10">
        <v>2500</v>
      </c>
      <c r="J18" s="10"/>
      <c r="K18" s="11" t="s">
        <v>29</v>
      </c>
    </row>
    <row r="19" spans="1:11" x14ac:dyDescent="0.35">
      <c r="A19" s="6" t="s">
        <v>66</v>
      </c>
      <c r="B19" s="7">
        <v>46274</v>
      </c>
      <c r="C19" s="6" t="s">
        <v>42</v>
      </c>
      <c r="D19" s="6" t="s">
        <v>37</v>
      </c>
      <c r="E19" s="6" t="s">
        <v>33</v>
      </c>
      <c r="F19" s="6" t="s">
        <v>67</v>
      </c>
      <c r="G19" s="8">
        <v>2</v>
      </c>
      <c r="H19" s="9">
        <v>1690</v>
      </c>
      <c r="I19" s="10">
        <v>1500</v>
      </c>
      <c r="J19" s="10"/>
      <c r="K19" s="11" t="s">
        <v>18</v>
      </c>
    </row>
    <row r="20" spans="1:11" x14ac:dyDescent="0.35">
      <c r="A20" s="6" t="s">
        <v>68</v>
      </c>
      <c r="B20" s="7">
        <v>46277</v>
      </c>
      <c r="C20" s="6" t="s">
        <v>47</v>
      </c>
      <c r="D20" s="6" t="s">
        <v>37</v>
      </c>
      <c r="E20" s="6" t="s">
        <v>38</v>
      </c>
      <c r="F20" s="6" t="s">
        <v>69</v>
      </c>
      <c r="G20" s="8">
        <v>5</v>
      </c>
      <c r="H20" s="9">
        <v>2290</v>
      </c>
      <c r="I20" s="10">
        <v>3000</v>
      </c>
      <c r="J20" s="10"/>
      <c r="K20" s="11" t="s">
        <v>29</v>
      </c>
    </row>
    <row r="21" spans="1:11" x14ac:dyDescent="0.35">
      <c r="A21" s="6" t="s">
        <v>70</v>
      </c>
      <c r="B21" s="7">
        <v>46280</v>
      </c>
      <c r="C21" s="6" t="s">
        <v>52</v>
      </c>
      <c r="D21" s="6" t="s">
        <v>43</v>
      </c>
      <c r="E21" s="6" t="s">
        <v>27</v>
      </c>
      <c r="F21" s="6" t="s">
        <v>28</v>
      </c>
      <c r="G21" s="8">
        <v>1</v>
      </c>
      <c r="H21" s="9">
        <v>2790</v>
      </c>
      <c r="I21" s="10">
        <v>0</v>
      </c>
      <c r="J21" s="10"/>
      <c r="K21" s="11" t="s">
        <v>40</v>
      </c>
    </row>
    <row r="22" spans="1:11" x14ac:dyDescent="0.35">
      <c r="A22" s="6" t="s">
        <v>71</v>
      </c>
      <c r="B22" s="7">
        <v>46235</v>
      </c>
      <c r="C22" s="6" t="s">
        <v>14</v>
      </c>
      <c r="D22" s="6" t="s">
        <v>48</v>
      </c>
      <c r="E22" s="6" t="s">
        <v>33</v>
      </c>
      <c r="F22" s="6" t="s">
        <v>72</v>
      </c>
      <c r="G22" s="8">
        <v>4</v>
      </c>
      <c r="H22" s="9">
        <v>5790</v>
      </c>
      <c r="I22" s="10">
        <v>2500</v>
      </c>
      <c r="J22" s="10"/>
      <c r="K22" s="11" t="s">
        <v>18</v>
      </c>
    </row>
    <row r="23" spans="1:11" x14ac:dyDescent="0.35">
      <c r="A23" s="6" t="s">
        <v>73</v>
      </c>
      <c r="B23" s="7">
        <v>46238</v>
      </c>
      <c r="C23" s="6" t="s">
        <v>20</v>
      </c>
      <c r="D23" s="6" t="s">
        <v>55</v>
      </c>
      <c r="E23" s="6" t="s">
        <v>38</v>
      </c>
      <c r="F23" s="6" t="s">
        <v>74</v>
      </c>
      <c r="G23" s="8">
        <v>7</v>
      </c>
      <c r="H23" s="9">
        <v>2290</v>
      </c>
      <c r="I23" s="10">
        <v>3000</v>
      </c>
      <c r="J23" s="10"/>
      <c r="K23" s="11" t="s">
        <v>18</v>
      </c>
    </row>
    <row r="24" spans="1:11" x14ac:dyDescent="0.35">
      <c r="A24" s="6" t="s">
        <v>75</v>
      </c>
      <c r="B24" s="7">
        <v>46241</v>
      </c>
      <c r="C24" s="6" t="s">
        <v>25</v>
      </c>
      <c r="D24" s="6" t="s">
        <v>15</v>
      </c>
      <c r="E24" s="6" t="s">
        <v>44</v>
      </c>
      <c r="F24" s="6" t="s">
        <v>45</v>
      </c>
      <c r="G24" s="8">
        <v>2</v>
      </c>
      <c r="H24" s="9">
        <v>2690</v>
      </c>
      <c r="I24" s="10">
        <v>2000</v>
      </c>
      <c r="J24" s="10"/>
      <c r="K24" s="11" t="s">
        <v>29</v>
      </c>
    </row>
    <row r="25" spans="1:11" x14ac:dyDescent="0.35">
      <c r="A25" s="6" t="s">
        <v>76</v>
      </c>
      <c r="B25" s="7">
        <v>46244</v>
      </c>
      <c r="C25" s="6" t="s">
        <v>31</v>
      </c>
      <c r="D25" s="6" t="s">
        <v>21</v>
      </c>
      <c r="E25" s="6" t="s">
        <v>49</v>
      </c>
      <c r="F25" s="6" t="s">
        <v>77</v>
      </c>
      <c r="G25" s="8">
        <v>5</v>
      </c>
      <c r="H25" s="9">
        <v>1990</v>
      </c>
      <c r="I25" s="10">
        <v>0</v>
      </c>
      <c r="J25" s="10"/>
      <c r="K25" s="11" t="s">
        <v>29</v>
      </c>
    </row>
    <row r="26" spans="1:11" x14ac:dyDescent="0.35">
      <c r="A26" s="6" t="s">
        <v>78</v>
      </c>
      <c r="B26" s="7">
        <v>46247</v>
      </c>
      <c r="C26" s="6" t="s">
        <v>36</v>
      </c>
      <c r="D26" s="6" t="s">
        <v>26</v>
      </c>
      <c r="E26" s="6" t="s">
        <v>16</v>
      </c>
      <c r="F26" s="6" t="s">
        <v>79</v>
      </c>
      <c r="G26" s="8">
        <v>1</v>
      </c>
      <c r="H26" s="9">
        <v>2090</v>
      </c>
      <c r="I26" s="10">
        <v>1500</v>
      </c>
      <c r="J26" s="10"/>
      <c r="K26" s="11" t="s">
        <v>40</v>
      </c>
    </row>
    <row r="27" spans="1:11" x14ac:dyDescent="0.35">
      <c r="A27" s="6" t="s">
        <v>80</v>
      </c>
      <c r="B27" s="7">
        <v>46250</v>
      </c>
      <c r="C27" s="6" t="s">
        <v>42</v>
      </c>
      <c r="D27" s="6" t="s">
        <v>26</v>
      </c>
      <c r="E27" s="6" t="s">
        <v>44</v>
      </c>
      <c r="F27" s="6" t="s">
        <v>56</v>
      </c>
      <c r="G27" s="8">
        <v>4</v>
      </c>
      <c r="H27" s="9">
        <v>1990</v>
      </c>
      <c r="I27" s="10">
        <v>3000</v>
      </c>
      <c r="J27" s="10"/>
      <c r="K27" s="11" t="s">
        <v>40</v>
      </c>
    </row>
    <row r="28" spans="1:11" x14ac:dyDescent="0.35">
      <c r="A28" s="6" t="s">
        <v>81</v>
      </c>
      <c r="B28" s="7">
        <v>46253</v>
      </c>
      <c r="C28" s="6" t="s">
        <v>47</v>
      </c>
      <c r="D28" s="6" t="s">
        <v>32</v>
      </c>
      <c r="E28" s="6" t="s">
        <v>58</v>
      </c>
      <c r="F28" s="6" t="s">
        <v>82</v>
      </c>
      <c r="G28" s="8">
        <v>7</v>
      </c>
      <c r="H28" s="9">
        <v>2290</v>
      </c>
      <c r="I28" s="10">
        <v>2000</v>
      </c>
      <c r="J28" s="10"/>
      <c r="K28" s="11" t="s">
        <v>29</v>
      </c>
    </row>
    <row r="29" spans="1:11" x14ac:dyDescent="0.35">
      <c r="A29" s="6" t="s">
        <v>83</v>
      </c>
      <c r="B29" s="7">
        <v>46256</v>
      </c>
      <c r="C29" s="6" t="s">
        <v>52</v>
      </c>
      <c r="D29" s="6" t="s">
        <v>37</v>
      </c>
      <c r="E29" s="6" t="s">
        <v>16</v>
      </c>
      <c r="F29" s="6" t="s">
        <v>17</v>
      </c>
      <c r="G29" s="8">
        <v>2</v>
      </c>
      <c r="H29" s="9">
        <v>1890</v>
      </c>
      <c r="I29" s="10">
        <v>2500</v>
      </c>
      <c r="J29" s="10"/>
      <c r="K29" s="11" t="s">
        <v>18</v>
      </c>
    </row>
    <row r="30" spans="1:11" x14ac:dyDescent="0.35">
      <c r="A30" s="6" t="s">
        <v>84</v>
      </c>
      <c r="B30" s="7">
        <v>46259</v>
      </c>
      <c r="C30" s="6" t="s">
        <v>14</v>
      </c>
      <c r="D30" s="6" t="s">
        <v>43</v>
      </c>
      <c r="E30" s="6" t="s">
        <v>22</v>
      </c>
      <c r="F30" s="6" t="s">
        <v>63</v>
      </c>
      <c r="G30" s="8">
        <v>5</v>
      </c>
      <c r="H30" s="9">
        <v>690</v>
      </c>
      <c r="I30" s="10">
        <v>1500</v>
      </c>
      <c r="J30" s="10"/>
      <c r="K30" s="11" t="s">
        <v>40</v>
      </c>
    </row>
    <row r="31" spans="1:11" x14ac:dyDescent="0.35">
      <c r="A31" s="6" t="s">
        <v>85</v>
      </c>
      <c r="B31" s="7">
        <v>46262</v>
      </c>
      <c r="C31" s="6" t="s">
        <v>20</v>
      </c>
      <c r="D31" s="6" t="s">
        <v>48</v>
      </c>
      <c r="E31" s="6" t="s">
        <v>27</v>
      </c>
      <c r="F31" s="6" t="s">
        <v>86</v>
      </c>
      <c r="G31" s="8">
        <v>1</v>
      </c>
      <c r="H31" s="9">
        <v>4590</v>
      </c>
      <c r="I31" s="10">
        <v>2000</v>
      </c>
      <c r="J31" s="10"/>
      <c r="K31" s="11" t="s">
        <v>40</v>
      </c>
    </row>
    <row r="32" spans="1:11" x14ac:dyDescent="0.35">
      <c r="A32" s="6" t="s">
        <v>87</v>
      </c>
      <c r="B32" s="7">
        <v>46265</v>
      </c>
      <c r="C32" s="6" t="s">
        <v>25</v>
      </c>
      <c r="D32" s="6" t="s">
        <v>55</v>
      </c>
      <c r="E32" s="6" t="s">
        <v>33</v>
      </c>
      <c r="F32" s="6" t="s">
        <v>34</v>
      </c>
      <c r="G32" s="8">
        <v>4</v>
      </c>
      <c r="H32" s="9">
        <v>3290</v>
      </c>
      <c r="I32" s="10">
        <v>0</v>
      </c>
      <c r="J32" s="10"/>
      <c r="K32" s="11" t="s">
        <v>40</v>
      </c>
    </row>
    <row r="33" spans="1:11" x14ac:dyDescent="0.35">
      <c r="A33" s="6" t="s">
        <v>88</v>
      </c>
      <c r="B33" s="7">
        <v>46268</v>
      </c>
      <c r="C33" s="6" t="s">
        <v>31</v>
      </c>
      <c r="D33" s="6" t="s">
        <v>15</v>
      </c>
      <c r="E33" s="6" t="s">
        <v>38</v>
      </c>
      <c r="F33" s="6" t="s">
        <v>69</v>
      </c>
      <c r="G33" s="8">
        <v>7</v>
      </c>
      <c r="H33" s="9">
        <v>2390</v>
      </c>
      <c r="I33" s="10">
        <v>2500</v>
      </c>
      <c r="J33" s="10"/>
      <c r="K33" s="11" t="s">
        <v>40</v>
      </c>
    </row>
    <row r="34" spans="1:11" x14ac:dyDescent="0.35">
      <c r="A34" s="6" t="s">
        <v>89</v>
      </c>
      <c r="B34" s="7">
        <v>46271</v>
      </c>
      <c r="C34" s="6" t="s">
        <v>36</v>
      </c>
      <c r="D34" s="6" t="s">
        <v>15</v>
      </c>
      <c r="E34" s="6" t="s">
        <v>44</v>
      </c>
      <c r="F34" s="6" t="s">
        <v>90</v>
      </c>
      <c r="G34" s="8">
        <v>2</v>
      </c>
      <c r="H34" s="9">
        <v>2890</v>
      </c>
      <c r="I34" s="10">
        <v>3000</v>
      </c>
      <c r="J34" s="10"/>
      <c r="K34" s="11" t="s">
        <v>29</v>
      </c>
    </row>
    <row r="35" spans="1:11" x14ac:dyDescent="0.35">
      <c r="A35" s="6" t="s">
        <v>91</v>
      </c>
      <c r="B35" s="7">
        <v>46274</v>
      </c>
      <c r="C35" s="6" t="s">
        <v>42</v>
      </c>
      <c r="D35" s="6" t="s">
        <v>21</v>
      </c>
      <c r="E35" s="6" t="s">
        <v>49</v>
      </c>
      <c r="F35" s="6" t="s">
        <v>50</v>
      </c>
      <c r="G35" s="8">
        <v>5</v>
      </c>
      <c r="H35" s="9">
        <v>3590</v>
      </c>
      <c r="I35" s="10">
        <v>2000</v>
      </c>
      <c r="J35" s="10"/>
      <c r="K35" s="11" t="s">
        <v>18</v>
      </c>
    </row>
    <row r="36" spans="1:11" x14ac:dyDescent="0.35">
      <c r="A36" s="6" t="s">
        <v>92</v>
      </c>
      <c r="B36" s="7">
        <v>46277</v>
      </c>
      <c r="C36" s="6" t="s">
        <v>47</v>
      </c>
      <c r="D36" s="6" t="s">
        <v>26</v>
      </c>
      <c r="E36" s="6" t="s">
        <v>38</v>
      </c>
      <c r="F36" s="6" t="s">
        <v>74</v>
      </c>
      <c r="G36" s="8">
        <v>1</v>
      </c>
      <c r="H36" s="9">
        <v>2390</v>
      </c>
      <c r="I36" s="10">
        <v>0</v>
      </c>
      <c r="J36" s="10"/>
      <c r="K36" s="11" t="s">
        <v>29</v>
      </c>
    </row>
    <row r="37" spans="1:11" x14ac:dyDescent="0.35">
      <c r="A37" s="6" t="s">
        <v>93</v>
      </c>
      <c r="B37" s="7">
        <v>46280</v>
      </c>
      <c r="C37" s="6" t="s">
        <v>52</v>
      </c>
      <c r="D37" s="6" t="s">
        <v>32</v>
      </c>
      <c r="E37" s="6" t="s">
        <v>44</v>
      </c>
      <c r="F37" s="6" t="s">
        <v>94</v>
      </c>
      <c r="G37" s="8">
        <v>4</v>
      </c>
      <c r="H37" s="9">
        <v>990</v>
      </c>
      <c r="I37" s="10">
        <v>1500</v>
      </c>
      <c r="J37" s="10"/>
      <c r="K37" s="11" t="s">
        <v>40</v>
      </c>
    </row>
    <row r="38" spans="1:11" x14ac:dyDescent="0.35">
      <c r="A38" s="6" t="s">
        <v>95</v>
      </c>
      <c r="B38" s="7">
        <v>46235</v>
      </c>
      <c r="C38" s="6" t="s">
        <v>14</v>
      </c>
      <c r="D38" s="6" t="s">
        <v>37</v>
      </c>
      <c r="E38" s="6" t="s">
        <v>58</v>
      </c>
      <c r="F38" s="6" t="s">
        <v>59</v>
      </c>
      <c r="G38" s="8">
        <v>7</v>
      </c>
      <c r="H38" s="9">
        <v>1690</v>
      </c>
      <c r="I38" s="10">
        <v>3000</v>
      </c>
      <c r="J38" s="10"/>
      <c r="K38" s="11" t="s">
        <v>18</v>
      </c>
    </row>
    <row r="42" spans="1:11" x14ac:dyDescent="0.35">
      <c r="K42">
        <f>SUMIF(E6:E38,"Lácteos",J6:J38)</f>
        <v>0</v>
      </c>
    </row>
  </sheetData>
  <conditionalFormatting sqref="K6:K38">
    <cfRule type="containsText" dxfId="2" priority="1" operator="containsText" text="Pendiente"/>
    <cfRule type="containsText" dxfId="1" priority="2" operator="containsText" text="En proceso"/>
    <cfRule type="containsText" dxfId="0" priority="3" operator="containsText" text="Listo"/>
  </conditionalFormatting>
  <dataValidations count="1">
    <dataValidation type="list" sqref="K6:K38" xr:uid="{97116B42-FA6C-45EE-9BDA-924B778750D2}">
      <formula1>"Pendiente,En proceso,Listo"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Arados</dc:creator>
  <cp:lastModifiedBy>Bárbara Arados</cp:lastModifiedBy>
  <dcterms:created xsi:type="dcterms:W3CDTF">2026-10-23T22:59:48Z</dcterms:created>
  <dcterms:modified xsi:type="dcterms:W3CDTF">2026-10-23T23:21:27Z</dcterms:modified>
</cp:coreProperties>
</file>